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VnA/NZnSExqU8Sn90nQa64HI5YyfRXRQsLztHALu/r0="/>
    </ext>
  </extLst>
</workbook>
</file>

<file path=xl/sharedStrings.xml><?xml version="1.0" encoding="utf-8"?>
<sst xmlns="http://schemas.openxmlformats.org/spreadsheetml/2006/main" count="325" uniqueCount="67">
  <si>
    <t xml:space="preserve">        </t>
  </si>
  <si>
    <t xml:space="preserve">FECHA DE VENTA </t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</si>
  <si>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</si>
  <si>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t>HOJA</t>
  </si>
  <si>
    <t xml:space="preserve">  VENTA DE VALE DIGITAL CONVENIO</t>
  </si>
  <si>
    <t>CONSORCIO</t>
  </si>
  <si>
    <t xml:space="preserve">MES </t>
  </si>
  <si>
    <t>AGOSTO</t>
  </si>
  <si>
    <t xml:space="preserve">     PAGOS VENTA </t>
  </si>
  <si>
    <t>TRANSFERENCIA</t>
  </si>
  <si>
    <t>VALOR</t>
  </si>
  <si>
    <t xml:space="preserve">RUT </t>
  </si>
  <si>
    <t xml:space="preserve">NOMBRE </t>
  </si>
  <si>
    <t xml:space="preserve">FONO </t>
  </si>
  <si>
    <t xml:space="preserve">N° TRANSFERENCIA </t>
  </si>
  <si>
    <t>FECHA</t>
  </si>
  <si>
    <t>BANCO</t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</si>
  <si>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</si>
  <si>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t>21/08/2025 - 27/08/2025</t>
  </si>
  <si>
    <t>NOMBRE ASOCIADO</t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</si>
  <si>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</si>
  <si>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</si>
  <si>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</si>
  <si>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</si>
  <si>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</si>
  <si>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</si>
  <si>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</si>
  <si>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</si>
  <si>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</si>
  <si>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</si>
  <si>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</si>
  <si>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</si>
  <si>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t>EFECTIVO</t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</si>
  <si>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</si>
  <si>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</si>
  <si>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r>
      <rPr>
        <rFont val="Aptos Narrow"/>
        <color theme="1"/>
        <sz val="11.0"/>
      </rPr>
      <t xml:space="preserve">                                 </t>
    </r>
    <r>
      <rPr>
        <rFont val="Aptos Narrow"/>
        <b/>
        <color theme="1"/>
        <sz val="14.0"/>
      </rPr>
      <t>VALORES</t>
    </r>
  </si>
  <si>
    <t>TOTAL</t>
  </si>
  <si>
    <t xml:space="preserve">HOJA </t>
  </si>
  <si>
    <t xml:space="preserve">BANCOS </t>
  </si>
  <si>
    <t>CONVENIO</t>
  </si>
  <si>
    <t>PAGOS VENTA</t>
  </si>
  <si>
    <t>ENERO</t>
  </si>
  <si>
    <t>ESTADO</t>
  </si>
  <si>
    <t>FEBRERO</t>
  </si>
  <si>
    <t>FALABELLA</t>
  </si>
  <si>
    <t>MARZO</t>
  </si>
  <si>
    <t>ITAU</t>
  </si>
  <si>
    <t>FENTESS</t>
  </si>
  <si>
    <t>ABRIL</t>
  </si>
  <si>
    <t>BCI</t>
  </si>
  <si>
    <t>ABASTIBLE</t>
  </si>
  <si>
    <t>EXTRA</t>
  </si>
  <si>
    <t>MAYO</t>
  </si>
  <si>
    <t>COOPEUCH</t>
  </si>
  <si>
    <t>OTRO</t>
  </si>
  <si>
    <t>JUNIO</t>
  </si>
  <si>
    <t>TENPO</t>
  </si>
  <si>
    <t>JULIO</t>
  </si>
  <si>
    <t>SANTANDER</t>
  </si>
  <si>
    <t>BANCO CHILE</t>
  </si>
  <si>
    <t>SEPTIEMBRE</t>
  </si>
  <si>
    <t>SCOTIABANK</t>
  </si>
  <si>
    <t>OCTUBRE</t>
  </si>
  <si>
    <t>BICE</t>
  </si>
  <si>
    <t>NOVIEMBRE</t>
  </si>
  <si>
    <t>OTROS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</si>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</sst>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1.0"/>
      <color theme="1"/>
      <name val="Aptos Narrow"/>
      <scheme val="minor"/>
    </font>
    <font>
      <sz val="11.0"/>
      <color theme="1"/>
      <name val="Aptos Narrow"/>
    </font>
    <font>
      <b/>
      <sz val="16.0"/>
      <color theme="1"/>
      <name val="Aptos Narrow"/>
    </font>
    <font>
      <b/>
      <sz val="12.0"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Aptos Narrow"/>
    </font>
    <font>
      <b/>
      <sz val="18.0"/>
      <color theme="1"/>
      <name val="Arial"/>
    </font>
    <font>
      <b/>
      <sz val="14.0"/>
      <color theme="1"/>
      <name val="Aptos Narrow"/>
    </font>
    <font>
      <b/>
      <sz val="10.0"/>
      <color theme="1"/>
      <name val="Arial"/>
    </font>
    <font>
      <b/>
      <i/>
      <sz val="14.0"/>
      <color theme="1"/>
      <name val="Aptos Narrow"/>
    </font>
    <font>
      <b/>
      <i/>
      <sz val="12.0"/>
      <color theme="1"/>
      <name val="Aptos Narrow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  <font>
      <sz val="9.0"/>
      <color theme="1"/>
      <name val="Aptos Narrow"/>
    </font>
    <font>
      <b/>
      <sz val="18.0"/>
      <color theme="1"/>
      <name val="Aptos Narrow"/>
    </font>
    <font>
      <b/>
      <sz val="10.0"/>
      <color theme="1"/>
      <name val="Aptos Narrow"/>
    </font>
    <font>
      <sz val="12.0"/>
      <color theme="1"/>
      <name val="Aptos Narrow"/>
    </font>
    <font>
      <sz val="16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83CAEB"/>
        <bgColor rgb="FF83CAEB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4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ont="1"/>
    <xf borderId="3" fillId="3" fontId="2" numFmtId="0" xfId="0" applyAlignment="1" applyBorder="1" applyFill="1" applyFont="1">
      <alignment horizontal="center"/>
    </xf>
    <xf borderId="1" fillId="3" fontId="1" numFmtId="0" xfId="0" applyBorder="1" applyFont="1"/>
    <xf borderId="2" fillId="3" fontId="1" numFmtId="0" xfId="0" applyBorder="1" applyFont="1"/>
    <xf borderId="4" fillId="3" fontId="1" numFmtId="0" xfId="0" applyBorder="1" applyFont="1"/>
    <xf borderId="5" fillId="3" fontId="2" numFmtId="0" xfId="0" applyAlignment="1" applyBorder="1" applyFont="1">
      <alignment horizontal="center"/>
    </xf>
    <xf borderId="6" fillId="3" fontId="3" numFmtId="0" xfId="0" applyAlignment="1" applyBorder="1" applyFont="1">
      <alignment horizontal="left" readingOrder="0"/>
    </xf>
    <xf borderId="7" fillId="3" fontId="4" numFmtId="0" xfId="0" applyBorder="1" applyFont="1"/>
    <xf borderId="7" fillId="4" fontId="5" numFmtId="0" xfId="0" applyAlignment="1" applyBorder="1" applyFill="1" applyFont="1">
      <alignment horizontal="center" readingOrder="0"/>
    </xf>
    <xf borderId="5" fillId="5" fontId="2" numFmtId="0" xfId="0" applyAlignment="1" applyBorder="1" applyFill="1" applyFont="1">
      <alignment horizontal="center"/>
    </xf>
    <xf borderId="7" fillId="4" fontId="6" numFmtId="0" xfId="0" applyAlignment="1" applyBorder="1" applyFont="1">
      <alignment horizontal="center" readingOrder="0"/>
    </xf>
    <xf borderId="5" fillId="4" fontId="7" numFmtId="164" xfId="0" applyAlignment="1" applyBorder="1" applyFont="1" applyNumberFormat="1">
      <alignment horizontal="center"/>
    </xf>
    <xf borderId="5" fillId="4" fontId="3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center"/>
    </xf>
    <xf borderId="7" fillId="4" fontId="7" numFmtId="0" xfId="0" applyAlignment="1" applyBorder="1" applyFont="1">
      <alignment horizontal="center"/>
    </xf>
    <xf borderId="8" fillId="4" fontId="8" numFmtId="0" xfId="0" applyAlignment="1" applyBorder="1" applyFont="1">
      <alignment horizontal="center" readingOrder="0"/>
    </xf>
    <xf borderId="5" fillId="3" fontId="9" numFmtId="0" xfId="0" applyBorder="1" applyFont="1"/>
    <xf borderId="7" fillId="4" fontId="10" numFmtId="0" xfId="0" applyAlignment="1" applyBorder="1" applyFont="1">
      <alignment horizontal="center" readingOrder="0"/>
    </xf>
    <xf borderId="5" fillId="3" fontId="1" numFmtId="0" xfId="0" applyBorder="1" applyFont="1"/>
    <xf borderId="9" fillId="0" fontId="1" numFmtId="0" xfId="0" applyBorder="1" applyFont="1"/>
    <xf borderId="0" fillId="0" fontId="1" numFmtId="164" xfId="0" applyFont="1" applyNumberForma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5" fillId="6" fontId="11" numFmtId="0" xfId="0" applyAlignment="1" applyBorder="1" applyFill="1" applyFont="1">
      <alignment horizontal="center" vertical="center"/>
    </xf>
    <xf borderId="3" fillId="6" fontId="11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center" vertical="center"/>
    </xf>
    <xf borderId="6" fillId="6" fontId="12" numFmtId="0" xfId="0" applyAlignment="1" applyBorder="1" applyFont="1">
      <alignment horizontal="center" vertical="center"/>
    </xf>
    <xf borderId="6" fillId="6" fontId="11" numFmtId="0" xfId="0" applyAlignment="1" applyBorder="1" applyFont="1">
      <alignment horizontal="center" vertical="center"/>
    </xf>
    <xf borderId="13" fillId="0" fontId="13" numFmtId="0" xfId="0" applyAlignment="1" applyBorder="1" applyFont="1">
      <alignment readingOrder="0"/>
    </xf>
    <xf borderId="14" fillId="0" fontId="13" numFmtId="0" xfId="0" applyAlignment="1" applyBorder="1" applyFont="1">
      <alignment readingOrder="0"/>
    </xf>
    <xf borderId="15" fillId="0" fontId="13" numFmtId="0" xfId="0" applyAlignment="1" applyBorder="1" applyFont="1">
      <alignment readingOrder="0"/>
    </xf>
    <xf borderId="15" fillId="0" fontId="13" numFmtId="0" xfId="0" applyAlignment="1" applyBorder="1" applyFont="1">
      <alignment horizontal="center" readingOrder="0"/>
    </xf>
    <xf borderId="16" fillId="0" fontId="13" numFmtId="14" xfId="0" applyAlignment="1" applyBorder="1" applyFont="1" applyNumberFormat="1">
      <alignment readingOrder="0"/>
    </xf>
    <xf borderId="17" fillId="0" fontId="14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5" fillId="0" fontId="1" numFmtId="0" xfId="0" applyAlignment="1" applyBorder="1" applyFont="1">
      <alignment horizontal="center"/>
    </xf>
    <xf borderId="16" fillId="0" fontId="1" numFmtId="14" xfId="0" applyBorder="1" applyFont="1" applyNumberFormat="1"/>
    <xf borderId="17" fillId="0" fontId="15" numFmtId="0" xfId="0" applyBorder="1" applyFont="1"/>
    <xf borderId="18" fillId="0" fontId="1" numFmtId="0" xfId="0" applyBorder="1" applyFont="1"/>
    <xf borderId="14" fillId="0" fontId="1" numFmtId="0" xfId="0" applyAlignment="1" applyBorder="1" applyFont="1">
      <alignment horizontal="center"/>
    </xf>
    <xf borderId="19" fillId="0" fontId="1" numFmtId="0" xfId="0" applyBorder="1" applyFont="1"/>
    <xf borderId="18" fillId="7" fontId="1" numFmtId="0" xfId="0" applyBorder="1" applyFill="1" applyFont="1"/>
    <xf borderId="0" fillId="0" fontId="16" numFmtId="0" xfId="0" applyFont="1"/>
    <xf borderId="20" fillId="7" fontId="1" numFmtId="0" xfId="0" applyBorder="1" applyFont="1"/>
    <xf borderId="21" fillId="0" fontId="1" numFmtId="0" xfId="0" applyBorder="1" applyFont="1"/>
    <xf borderId="22" fillId="0" fontId="1" numFmtId="14" xfId="0" applyBorder="1" applyFont="1" applyNumberFormat="1"/>
    <xf borderId="23" fillId="0" fontId="1" numFmtId="0" xfId="0" applyBorder="1" applyFont="1"/>
    <xf borderId="5" fillId="0" fontId="1" numFmtId="0" xfId="0" applyBorder="1" applyFont="1"/>
    <xf borderId="6" fillId="2" fontId="1" numFmtId="0" xfId="0" applyBorder="1" applyFont="1"/>
    <xf borderId="7" fillId="2" fontId="1" numFmtId="0" xfId="0" applyBorder="1" applyFont="1"/>
    <xf borderId="5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5" fillId="2" fontId="1" numFmtId="0" xfId="0" applyBorder="1" applyFont="1"/>
    <xf borderId="6" fillId="3" fontId="7" numFmtId="0" xfId="0" applyAlignment="1" applyBorder="1" applyFont="1">
      <alignment horizontal="left"/>
    </xf>
    <xf borderId="7" fillId="4" fontId="4" numFmtId="0" xfId="0" applyAlignment="1" applyBorder="1" applyFont="1">
      <alignment horizontal="center"/>
    </xf>
    <xf borderId="7" fillId="4" fontId="9" numFmtId="0" xfId="0" applyAlignment="1" applyBorder="1" applyFont="1">
      <alignment horizontal="center"/>
    </xf>
    <xf borderId="8" fillId="4" fontId="17" numFmtId="0" xfId="0" applyAlignment="1" applyBorder="1" applyFont="1">
      <alignment horizontal="center"/>
    </xf>
    <xf borderId="7" fillId="4" fontId="18" numFmtId="0" xfId="0" applyAlignment="1" applyBorder="1" applyFont="1">
      <alignment horizontal="center"/>
    </xf>
    <xf borderId="26" fillId="0" fontId="1" numFmtId="14" xfId="0" applyBorder="1" applyFont="1" applyNumberFormat="1"/>
    <xf borderId="27" fillId="7" fontId="1" numFmtId="14" xfId="0" applyBorder="1" applyFont="1" applyNumberFormat="1"/>
    <xf borderId="28" fillId="0" fontId="1" numFmtId="0" xfId="0" applyAlignment="1" applyBorder="1" applyFont="1">
      <alignment horizontal="center"/>
    </xf>
    <xf borderId="19" fillId="0" fontId="15" numFmtId="0" xfId="0" applyBorder="1" applyFont="1"/>
    <xf borderId="0" fillId="0" fontId="1" numFmtId="0" xfId="0" applyAlignment="1" applyFont="1">
      <alignment horizontal="center"/>
    </xf>
    <xf borderId="17" fillId="0" fontId="19" numFmtId="0" xfId="0" applyBorder="1" applyFont="1"/>
    <xf borderId="14" fillId="0" fontId="1" numFmtId="0" xfId="0" applyAlignment="1" applyBorder="1" applyFont="1">
      <alignment horizontal="right"/>
    </xf>
    <xf borderId="20" fillId="7" fontId="1" numFmtId="0" xfId="0" applyAlignment="1" applyBorder="1" applyFont="1">
      <alignment horizontal="right"/>
    </xf>
    <xf borderId="14" fillId="7" fontId="1" numFmtId="0" xfId="0" applyBorder="1" applyFont="1"/>
    <xf borderId="14" fillId="7" fontId="1" numFmtId="0" xfId="0" applyAlignment="1" applyBorder="1" applyFont="1">
      <alignment horizontal="center"/>
    </xf>
    <xf borderId="19" fillId="7" fontId="1" numFmtId="0" xfId="0" applyBorder="1" applyFont="1"/>
    <xf borderId="18" fillId="8" fontId="1" numFmtId="0" xfId="0" applyBorder="1" applyFill="1" applyFont="1"/>
    <xf borderId="14" fillId="8" fontId="1" numFmtId="0" xfId="0" applyBorder="1" applyFont="1"/>
    <xf borderId="14" fillId="8" fontId="1" numFmtId="0" xfId="0" applyAlignment="1" applyBorder="1" applyFont="1">
      <alignment horizontal="center"/>
    </xf>
    <xf borderId="14" fillId="8" fontId="15" numFmtId="0" xfId="0" applyAlignment="1" applyBorder="1" applyFont="1">
      <alignment horizontal="right"/>
    </xf>
    <xf borderId="27" fillId="8" fontId="1" numFmtId="14" xfId="0" applyBorder="1" applyFont="1" applyNumberFormat="1"/>
    <xf borderId="19" fillId="8" fontId="1" numFmtId="0" xfId="0" applyBorder="1" applyFont="1"/>
    <xf borderId="17" fillId="0" fontId="1" numFmtId="0" xfId="0" applyBorder="1" applyFont="1"/>
    <xf borderId="29" fillId="3" fontId="2" numFmtId="0" xfId="0" applyAlignment="1" applyBorder="1" applyFont="1">
      <alignment horizontal="center"/>
    </xf>
    <xf borderId="30" fillId="3" fontId="1" numFmtId="0" xfId="0" applyBorder="1" applyFont="1"/>
    <xf borderId="20" fillId="3" fontId="1" numFmtId="0" xfId="0" applyBorder="1" applyFont="1"/>
    <xf borderId="31" fillId="3" fontId="1" numFmtId="0" xfId="0" applyBorder="1" applyFont="1"/>
    <xf borderId="8" fillId="3" fontId="2" numFmtId="0" xfId="0" applyAlignment="1" applyBorder="1" applyFont="1">
      <alignment horizontal="center"/>
    </xf>
    <xf borderId="32" fillId="3" fontId="7" numFmtId="0" xfId="0" applyAlignment="1" applyBorder="1" applyFont="1">
      <alignment horizontal="left"/>
    </xf>
    <xf borderId="33" fillId="3" fontId="4" numFmtId="0" xfId="0" applyBorder="1" applyFont="1"/>
    <xf borderId="33" fillId="4" fontId="4" numFmtId="0" xfId="0" applyAlignment="1" applyBorder="1" applyFont="1">
      <alignment horizontal="center"/>
    </xf>
    <xf borderId="34" fillId="0" fontId="1" numFmtId="0" xfId="0" applyBorder="1" applyFont="1"/>
    <xf borderId="35" fillId="7" fontId="1" numFmtId="0" xfId="0" applyBorder="1" applyFont="1"/>
    <xf borderId="36" fillId="7" fontId="1" numFmtId="0" xfId="0" applyBorder="1" applyFont="1"/>
    <xf borderId="36" fillId="7" fontId="1" numFmtId="0" xfId="0" applyAlignment="1" applyBorder="1" applyFont="1">
      <alignment horizontal="center"/>
    </xf>
    <xf borderId="37" fillId="7" fontId="1" numFmtId="14" xfId="0" applyBorder="1" applyFont="1" applyNumberFormat="1"/>
    <xf borderId="38" fillId="7" fontId="7" numFmtId="0" xfId="0" applyBorder="1" applyFont="1"/>
    <xf borderId="26" fillId="0" fontId="1" numFmtId="0" xfId="0" applyBorder="1" applyFont="1"/>
    <xf borderId="18" fillId="0" fontId="1" numFmtId="3" xfId="0" applyBorder="1" applyFont="1" applyNumberForma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39" fillId="0" fontId="1" numFmtId="0" xfId="0" applyAlignment="1" applyBorder="1" applyFont="1">
      <alignment horizontal="center"/>
    </xf>
    <xf borderId="40" fillId="0" fontId="1" numFmtId="0" xfId="0" applyAlignment="1" applyBorder="1" applyFont="1">
      <alignment horizontal="center"/>
    </xf>
    <xf borderId="41" fillId="0" fontId="1" numFmtId="0" xfId="0" applyAlignment="1" applyBorder="1" applyFont="1">
      <alignment horizontal="center"/>
    </xf>
    <xf borderId="42" fillId="0" fontId="1" numFmtId="0" xfId="0" applyBorder="1" applyFont="1"/>
    <xf borderId="24" fillId="0" fontId="1" numFmtId="0" xfId="0" applyBorder="1" applyFont="1"/>
    <xf borderId="28" fillId="0" fontId="1" numFmtId="0" xfId="0" applyBorder="1" applyFont="1"/>
    <xf borderId="17" fillId="0" fontId="7" numFmtId="0" xfId="0" applyBorder="1" applyFont="1"/>
    <xf borderId="0" fillId="0" fontId="1" numFmtId="14" xfId="0" applyFont="1" applyNumberFormat="1"/>
    <xf borderId="1" fillId="6" fontId="1" numFmtId="0" xfId="0" applyBorder="1" applyFont="1"/>
    <xf borderId="2" fillId="6" fontId="1" numFmtId="0" xfId="0" applyBorder="1" applyFont="1"/>
    <xf borderId="4" fillId="6" fontId="1" numFmtId="0" xfId="0" applyBorder="1" applyFont="1"/>
    <xf borderId="30" fillId="6" fontId="1" numFmtId="0" xfId="0" applyBorder="1" applyFont="1"/>
    <xf borderId="20" fillId="6" fontId="1" numFmtId="0" xfId="0" applyBorder="1" applyFont="1"/>
    <xf borderId="31" fillId="6" fontId="1" numFmtId="0" xfId="0" applyBorder="1" applyFont="1"/>
    <xf borderId="43" fillId="4" fontId="20" numFmtId="0" xfId="0" applyAlignment="1" applyBorder="1" applyFont="1">
      <alignment horizontal="center"/>
    </xf>
    <xf borderId="44" fillId="4" fontId="20" numFmtId="0" xfId="0" applyAlignment="1" applyBorder="1" applyFont="1">
      <alignment horizontal="center"/>
    </xf>
    <xf borderId="45" fillId="4" fontId="20" numFmtId="0" xfId="0" applyAlignment="1" applyBorder="1" applyFont="1">
      <alignment horizontal="center"/>
    </xf>
    <xf borderId="43" fillId="0" fontId="20" numFmtId="0" xfId="0" applyAlignment="1" applyBorder="1" applyFont="1">
      <alignment horizontal="center"/>
    </xf>
    <xf borderId="44" fillId="0" fontId="20" numFmtId="0" xfId="0" applyAlignment="1" applyBorder="1" applyFont="1">
      <alignment horizontal="center"/>
    </xf>
    <xf borderId="45" fillId="0" fontId="20" numFmtId="0" xfId="0" applyAlignment="1" applyBorder="1" applyFont="1">
      <alignment horizontal="center"/>
    </xf>
    <xf borderId="32" fillId="6" fontId="1" numFmtId="0" xfId="0" applyBorder="1" applyFont="1"/>
    <xf borderId="46" fillId="6" fontId="1" numFmtId="0" xfId="0" applyBorder="1" applyFont="1"/>
    <xf borderId="33" fillId="6" fontId="1" numFmtId="0" xfId="0" applyBorder="1" applyFont="1"/>
    <xf borderId="14" fillId="9" fontId="1" numFmtId="0" xfId="0" applyBorder="1" applyFill="1" applyFont="1"/>
    <xf borderId="14" fillId="9" fontId="9" numFmtId="0" xfId="0" applyBorder="1" applyFont="1"/>
    <xf borderId="14" fillId="9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1.0"/>
    <col customWidth="1" min="4" max="4" width="34.13"/>
    <col customWidth="1" min="5" max="7" width="7.75"/>
    <col customWidth="1" min="8" max="8" width="9.25"/>
    <col customWidth="1" min="9" max="9" width="19.0"/>
    <col customWidth="1" min="10" max="10" width="25.88"/>
    <col customWidth="1" min="11" max="11" width="19.38"/>
    <col customWidth="1" min="12" max="12" width="17.75"/>
    <col customWidth="1" min="13" max="13" width="5.63"/>
    <col customWidth="1" min="14" max="14" width="11.25"/>
    <col customWidth="1" min="15" max="15" width="7.25"/>
    <col customWidth="1" min="16" max="26" width="11.25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4" t="s">
        <v>1</v>
      </c>
      <c r="E2" s="5" t="s">
        <v>2</v>
      </c>
      <c r="F2" s="6"/>
      <c r="G2" s="6"/>
      <c r="H2" s="7"/>
      <c r="I2" s="8" t="s">
        <v>3</v>
      </c>
      <c r="J2" s="9" t="s">
        <v>4</v>
      </c>
      <c r="K2" s="10"/>
      <c r="L2" s="11" t="s">
        <v>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2" t="s">
        <v>6</v>
      </c>
      <c r="C3" s="13" t="s">
        <v>7</v>
      </c>
      <c r="D3" s="14"/>
      <c r="E3" s="15">
        <v>10000.0</v>
      </c>
      <c r="F3" s="16">
        <v>18250.0</v>
      </c>
      <c r="G3" s="16">
        <v>21500.0</v>
      </c>
      <c r="H3" s="17">
        <v>62000.0</v>
      </c>
      <c r="I3" s="18">
        <v>1.0</v>
      </c>
      <c r="J3" s="19" t="s">
        <v>8</v>
      </c>
      <c r="K3" s="20" t="s">
        <v>9</v>
      </c>
      <c r="L3" s="2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22"/>
      <c r="C4" s="1"/>
      <c r="D4" s="23"/>
      <c r="E4" s="1"/>
      <c r="F4" s="1"/>
      <c r="G4" s="1"/>
      <c r="H4" s="1"/>
      <c r="I4" s="1"/>
      <c r="J4" s="1"/>
      <c r="K4" s="1"/>
      <c r="L4" s="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25"/>
      <c r="C5" s="26"/>
      <c r="D5" s="26"/>
      <c r="E5" s="26"/>
      <c r="F5" s="26"/>
      <c r="G5" s="26"/>
      <c r="H5" s="26"/>
      <c r="I5" s="26"/>
      <c r="J5" s="26"/>
      <c r="K5" s="1"/>
      <c r="L5" s="2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27" t="s">
        <v>10</v>
      </c>
      <c r="C6" s="28" t="s">
        <v>11</v>
      </c>
      <c r="D6" s="27" t="s">
        <v>12</v>
      </c>
      <c r="E6" s="27">
        <v>5.0</v>
      </c>
      <c r="F6" s="27">
        <v>11.0</v>
      </c>
      <c r="G6" s="27">
        <v>15.0</v>
      </c>
      <c r="H6" s="29">
        <v>45.0</v>
      </c>
      <c r="I6" s="27" t="s">
        <v>13</v>
      </c>
      <c r="J6" s="30" t="s">
        <v>14</v>
      </c>
      <c r="K6" s="31" t="s">
        <v>15</v>
      </c>
      <c r="L6" s="27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32"/>
      <c r="C7" s="33"/>
      <c r="D7" s="34"/>
      <c r="E7" s="35"/>
      <c r="F7" s="35"/>
      <c r="G7" s="35"/>
      <c r="H7" s="35"/>
      <c r="I7" s="34"/>
      <c r="J7" s="34"/>
      <c r="K7" s="36"/>
      <c r="L7" s="3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38"/>
      <c r="C8" s="39"/>
      <c r="D8" s="40"/>
      <c r="E8" s="41"/>
      <c r="F8" s="41"/>
      <c r="G8" s="41"/>
      <c r="H8" s="41"/>
      <c r="I8" s="40"/>
      <c r="J8" s="40"/>
      <c r="K8" s="42"/>
      <c r="L8" s="4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4"/>
      <c r="C9" s="39"/>
      <c r="D9" s="40"/>
      <c r="E9" s="41"/>
      <c r="F9" s="41"/>
      <c r="G9" s="41"/>
      <c r="H9" s="41"/>
      <c r="I9" s="40"/>
      <c r="J9" s="40"/>
      <c r="K9" s="42"/>
      <c r="L9" s="4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44"/>
      <c r="C10" s="39"/>
      <c r="D10" s="39"/>
      <c r="E10" s="45"/>
      <c r="F10" s="45"/>
      <c r="G10" s="45"/>
      <c r="H10" s="45"/>
      <c r="I10" s="39"/>
      <c r="J10" s="39"/>
      <c r="K10" s="42"/>
      <c r="L10" s="4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44"/>
      <c r="C11" s="39"/>
      <c r="D11" s="39"/>
      <c r="E11" s="45"/>
      <c r="F11" s="45"/>
      <c r="G11" s="45"/>
      <c r="H11" s="45"/>
      <c r="I11" s="39"/>
      <c r="J11" s="39"/>
      <c r="K11" s="42"/>
      <c r="L11" s="4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44"/>
      <c r="C12" s="39"/>
      <c r="D12" s="39"/>
      <c r="E12" s="45"/>
      <c r="F12" s="45"/>
      <c r="G12" s="45"/>
      <c r="H12" s="45"/>
      <c r="I12" s="39"/>
      <c r="J12" s="39"/>
      <c r="K12" s="42"/>
      <c r="L12" s="4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4"/>
      <c r="C13" s="39"/>
      <c r="D13" s="39"/>
      <c r="E13" s="45"/>
      <c r="F13" s="45"/>
      <c r="G13" s="45"/>
      <c r="H13" s="45"/>
      <c r="I13" s="39"/>
      <c r="J13" s="39"/>
      <c r="K13" s="42"/>
      <c r="L13" s="4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4"/>
      <c r="C14" s="39"/>
      <c r="D14" s="39"/>
      <c r="E14" s="45"/>
      <c r="F14" s="45"/>
      <c r="G14" s="45"/>
      <c r="H14" s="45"/>
      <c r="I14" s="39"/>
      <c r="J14" s="39"/>
      <c r="K14" s="42"/>
      <c r="L14" s="4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44"/>
      <c r="C15" s="39"/>
      <c r="D15" s="39"/>
      <c r="E15" s="45"/>
      <c r="F15" s="45"/>
      <c r="G15" s="45"/>
      <c r="H15" s="45"/>
      <c r="I15" s="39"/>
      <c r="J15" s="39"/>
      <c r="K15" s="42"/>
      <c r="L15" s="4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4"/>
      <c r="C16" s="39"/>
      <c r="D16" s="39"/>
      <c r="E16" s="45"/>
      <c r="F16" s="45"/>
      <c r="G16" s="45"/>
      <c r="H16" s="45"/>
      <c r="I16" s="39"/>
      <c r="J16" s="39"/>
      <c r="K16" s="42"/>
      <c r="L16" s="4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4"/>
      <c r="C17" s="39"/>
      <c r="D17" s="39"/>
      <c r="E17" s="45"/>
      <c r="F17" s="45"/>
      <c r="G17" s="45"/>
      <c r="H17" s="45"/>
      <c r="I17" s="39"/>
      <c r="J17" s="39"/>
      <c r="K17" s="42"/>
      <c r="L17" s="4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7"/>
      <c r="C18" s="39"/>
      <c r="D18" s="39"/>
      <c r="E18" s="45"/>
      <c r="F18" s="45"/>
      <c r="G18" s="45"/>
      <c r="H18" s="45"/>
      <c r="I18" s="39"/>
      <c r="J18" s="39"/>
      <c r="K18" s="42"/>
      <c r="L18" s="4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4"/>
      <c r="C19" s="39"/>
      <c r="D19" s="39"/>
      <c r="E19" s="45"/>
      <c r="F19" s="45"/>
      <c r="G19" s="45"/>
      <c r="H19" s="45"/>
      <c r="I19" s="39"/>
      <c r="J19" s="39"/>
      <c r="K19" s="42"/>
      <c r="L19" s="4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4"/>
      <c r="C20" s="39"/>
      <c r="D20" s="39"/>
      <c r="E20" s="45"/>
      <c r="F20" s="45"/>
      <c r="G20" s="45"/>
      <c r="H20" s="45"/>
      <c r="I20" s="39"/>
      <c r="J20" s="39"/>
      <c r="K20" s="42"/>
      <c r="L20" s="46"/>
      <c r="M20" s="1"/>
      <c r="N20" s="4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4"/>
      <c r="C21" s="39"/>
      <c r="D21" s="39"/>
      <c r="E21" s="45"/>
      <c r="F21" s="45"/>
      <c r="G21" s="45"/>
      <c r="H21" s="45"/>
      <c r="I21" s="39"/>
      <c r="J21" s="39"/>
      <c r="K21" s="42"/>
      <c r="L21" s="4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4"/>
      <c r="C22" s="39"/>
      <c r="D22" s="39"/>
      <c r="E22" s="45"/>
      <c r="F22" s="45"/>
      <c r="G22" s="45"/>
      <c r="H22" s="45"/>
      <c r="I22" s="39"/>
      <c r="J22" s="39"/>
      <c r="K22" s="42"/>
      <c r="L22" s="4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44"/>
      <c r="C23" s="39"/>
      <c r="D23" s="39"/>
      <c r="E23" s="45"/>
      <c r="F23" s="45"/>
      <c r="G23" s="45"/>
      <c r="H23" s="45"/>
      <c r="I23" s="39"/>
      <c r="J23" s="39"/>
      <c r="K23" s="42"/>
      <c r="L23" s="4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4"/>
      <c r="C24" s="39"/>
      <c r="D24" s="39"/>
      <c r="E24" s="45"/>
      <c r="F24" s="45"/>
      <c r="G24" s="45"/>
      <c r="H24" s="45"/>
      <c r="I24" s="39"/>
      <c r="J24" s="39"/>
      <c r="K24" s="42"/>
      <c r="L24" s="4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4"/>
      <c r="C25" s="39"/>
      <c r="D25" s="39"/>
      <c r="E25" s="45"/>
      <c r="F25" s="45"/>
      <c r="G25" s="45"/>
      <c r="H25" s="45"/>
      <c r="I25" s="39"/>
      <c r="J25" s="39"/>
      <c r="K25" s="42"/>
      <c r="L25" s="4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4"/>
      <c r="C26" s="39"/>
      <c r="D26" s="39"/>
      <c r="E26" s="45"/>
      <c r="F26" s="45"/>
      <c r="G26" s="45"/>
      <c r="H26" s="45"/>
      <c r="I26" s="39"/>
      <c r="J26" s="39"/>
      <c r="K26" s="42"/>
      <c r="L26" s="4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4"/>
      <c r="C27" s="39"/>
      <c r="D27" s="39"/>
      <c r="E27" s="45"/>
      <c r="F27" s="45"/>
      <c r="G27" s="45"/>
      <c r="H27" s="45"/>
      <c r="I27" s="39"/>
      <c r="J27" s="39"/>
      <c r="K27" s="42"/>
      <c r="L27" s="4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9"/>
      <c r="B28" s="47"/>
      <c r="C28" s="39"/>
      <c r="D28" s="39"/>
      <c r="E28" s="45"/>
      <c r="F28" s="45"/>
      <c r="G28" s="45"/>
      <c r="H28" s="45"/>
      <c r="I28" s="39"/>
      <c r="J28" s="39"/>
      <c r="K28" s="42"/>
      <c r="L28" s="46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7"/>
      <c r="C29" s="39"/>
      <c r="D29" s="39"/>
      <c r="E29" s="45"/>
      <c r="F29" s="45"/>
      <c r="G29" s="45"/>
      <c r="H29" s="45"/>
      <c r="I29" s="39"/>
      <c r="J29" s="39"/>
      <c r="K29" s="42"/>
      <c r="L29" s="4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7"/>
      <c r="C30" s="39"/>
      <c r="D30" s="39"/>
      <c r="E30" s="45"/>
      <c r="F30" s="45"/>
      <c r="G30" s="45"/>
      <c r="H30" s="45"/>
      <c r="I30" s="39"/>
      <c r="J30" s="39"/>
      <c r="K30" s="42"/>
      <c r="L30" s="4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1"/>
      <c r="B31" s="44"/>
      <c r="C31" s="39"/>
      <c r="D31" s="39"/>
      <c r="E31" s="45"/>
      <c r="F31" s="45"/>
      <c r="G31" s="45"/>
      <c r="H31" s="45"/>
      <c r="I31" s="39"/>
      <c r="J31" s="39"/>
      <c r="K31" s="42"/>
      <c r="L31" s="4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4"/>
      <c r="C32" s="39"/>
      <c r="D32" s="39"/>
      <c r="E32" s="45"/>
      <c r="F32" s="45"/>
      <c r="G32" s="45"/>
      <c r="H32" s="45"/>
      <c r="I32" s="50"/>
      <c r="J32" s="50"/>
      <c r="K32" s="51"/>
      <c r="L32" s="5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3">
        <f>SUM(B7:B32)</f>
        <v>0</v>
      </c>
      <c r="C33" s="54"/>
      <c r="D33" s="55"/>
      <c r="E33" s="56">
        <f t="shared" ref="E33:H33" si="1">SUM(E7:E32)</f>
        <v>0</v>
      </c>
      <c r="F33" s="57">
        <f t="shared" si="1"/>
        <v>0</v>
      </c>
      <c r="G33" s="56">
        <f t="shared" si="1"/>
        <v>0</v>
      </c>
      <c r="H33" s="57">
        <f t="shared" si="1"/>
        <v>0</v>
      </c>
      <c r="I33" s="54"/>
      <c r="J33" s="58"/>
      <c r="K33" s="58"/>
      <c r="L33" s="5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3"/>
      <c r="D35" s="4" t="s">
        <v>1</v>
      </c>
      <c r="E35" s="5" t="s">
        <v>17</v>
      </c>
      <c r="F35" s="6"/>
      <c r="G35" s="6"/>
      <c r="H35" s="7"/>
      <c r="I35" s="8" t="s">
        <v>3</v>
      </c>
      <c r="J35" s="59" t="s">
        <v>4</v>
      </c>
      <c r="K35" s="10"/>
      <c r="L35" s="60" t="s"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2" t="s">
        <v>6</v>
      </c>
      <c r="C36" s="61" t="s">
        <v>7</v>
      </c>
      <c r="D36" s="14" t="s">
        <v>18</v>
      </c>
      <c r="E36" s="16">
        <v>10000.0</v>
      </c>
      <c r="F36" s="16">
        <v>18250.0</v>
      </c>
      <c r="G36" s="16">
        <v>21500.0</v>
      </c>
      <c r="H36" s="17">
        <v>62000.0</v>
      </c>
      <c r="I36" s="62">
        <v>2.0</v>
      </c>
      <c r="J36" s="19" t="s">
        <v>8</v>
      </c>
      <c r="K36" s="63" t="s">
        <v>9</v>
      </c>
      <c r="L36" s="2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.5" customHeight="1">
      <c r="A37" s="1"/>
      <c r="B37" s="22"/>
      <c r="C37" s="1"/>
      <c r="D37" s="23"/>
      <c r="E37" s="1"/>
      <c r="F37" s="1"/>
      <c r="G37" s="1"/>
      <c r="H37" s="1"/>
      <c r="I37" s="1"/>
      <c r="J37" s="1"/>
      <c r="K37" s="1"/>
      <c r="L37" s="2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6.0" customHeight="1">
      <c r="A38" s="1"/>
      <c r="B38" s="25"/>
      <c r="C38" s="26"/>
      <c r="D38" s="26"/>
      <c r="E38" s="26"/>
      <c r="F38" s="26"/>
      <c r="G38" s="26"/>
      <c r="H38" s="26"/>
      <c r="I38" s="26"/>
      <c r="J38" s="26"/>
      <c r="K38" s="1"/>
      <c r="L38" s="2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27" t="s">
        <v>10</v>
      </c>
      <c r="C39" s="27" t="s">
        <v>11</v>
      </c>
      <c r="D39" s="27" t="s">
        <v>19</v>
      </c>
      <c r="E39" s="27">
        <v>5.0</v>
      </c>
      <c r="F39" s="27">
        <v>11.0</v>
      </c>
      <c r="G39" s="27">
        <v>15.0</v>
      </c>
      <c r="H39" s="29">
        <v>45.0</v>
      </c>
      <c r="I39" s="27" t="s">
        <v>13</v>
      </c>
      <c r="J39" s="30" t="s">
        <v>14</v>
      </c>
      <c r="K39" s="31" t="s">
        <v>15</v>
      </c>
      <c r="L39" s="27" t="s">
        <v>16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8"/>
      <c r="C40" s="39"/>
      <c r="D40" s="39"/>
      <c r="E40" s="45"/>
      <c r="F40" s="45"/>
      <c r="G40" s="45"/>
      <c r="H40" s="45"/>
      <c r="I40" s="39"/>
      <c r="J40" s="39"/>
      <c r="K40" s="42"/>
      <c r="L40" s="4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4"/>
      <c r="C41" s="39"/>
      <c r="D41" s="39"/>
      <c r="E41" s="45"/>
      <c r="F41" s="45"/>
      <c r="G41" s="45"/>
      <c r="H41" s="45"/>
      <c r="I41" s="39"/>
      <c r="J41" s="39"/>
      <c r="K41" s="42"/>
      <c r="L41" s="4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4"/>
      <c r="C42" s="39"/>
      <c r="D42" s="39"/>
      <c r="E42" s="45"/>
      <c r="F42" s="45"/>
      <c r="G42" s="45"/>
      <c r="H42" s="45"/>
      <c r="I42" s="39"/>
      <c r="J42" s="39"/>
      <c r="K42" s="42"/>
      <c r="L42" s="4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4"/>
      <c r="C43" s="39"/>
      <c r="D43" s="39"/>
      <c r="E43" s="45"/>
      <c r="F43" s="45"/>
      <c r="G43" s="45"/>
      <c r="H43" s="45"/>
      <c r="I43" s="39"/>
      <c r="J43" s="39"/>
      <c r="K43" s="42"/>
      <c r="L43" s="4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4"/>
      <c r="C44" s="39"/>
      <c r="D44" s="39"/>
      <c r="E44" s="45"/>
      <c r="F44" s="45"/>
      <c r="G44" s="45"/>
      <c r="H44" s="45"/>
      <c r="I44" s="39"/>
      <c r="J44" s="39"/>
      <c r="K44" s="42"/>
      <c r="L44" s="4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44"/>
      <c r="C45" s="39"/>
      <c r="D45" s="39"/>
      <c r="E45" s="45"/>
      <c r="F45" s="45"/>
      <c r="G45" s="45"/>
      <c r="H45" s="45"/>
      <c r="I45" s="39"/>
      <c r="J45" s="39"/>
      <c r="K45" s="42"/>
      <c r="L45" s="4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4"/>
      <c r="C46" s="39"/>
      <c r="D46" s="39"/>
      <c r="E46" s="45"/>
      <c r="F46" s="45"/>
      <c r="G46" s="45"/>
      <c r="H46" s="45"/>
      <c r="I46" s="39"/>
      <c r="J46" s="39"/>
      <c r="K46" s="42"/>
      <c r="L46" s="4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4"/>
      <c r="C47" s="39"/>
      <c r="D47" s="39"/>
      <c r="E47" s="45"/>
      <c r="F47" s="45"/>
      <c r="G47" s="45"/>
      <c r="H47" s="45"/>
      <c r="I47" s="39"/>
      <c r="J47" s="39"/>
      <c r="K47" s="42"/>
      <c r="L47" s="4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4"/>
      <c r="C48" s="39"/>
      <c r="D48" s="39"/>
      <c r="E48" s="45"/>
      <c r="F48" s="45"/>
      <c r="G48" s="45"/>
      <c r="H48" s="45"/>
      <c r="I48" s="39"/>
      <c r="J48" s="39"/>
      <c r="K48" s="42"/>
      <c r="L48" s="4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44"/>
      <c r="C49" s="39"/>
      <c r="D49" s="39"/>
      <c r="E49" s="45"/>
      <c r="F49" s="45"/>
      <c r="G49" s="45"/>
      <c r="H49" s="45"/>
      <c r="I49" s="39"/>
      <c r="J49" s="39"/>
      <c r="K49" s="42"/>
      <c r="L49" s="4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44"/>
      <c r="C50" s="39"/>
      <c r="D50" s="39"/>
      <c r="E50" s="45"/>
      <c r="F50" s="45"/>
      <c r="G50" s="45"/>
      <c r="H50" s="45"/>
      <c r="I50" s="39"/>
      <c r="J50" s="39"/>
      <c r="K50" s="42"/>
      <c r="L50" s="4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4"/>
      <c r="C51" s="39"/>
      <c r="D51" s="39"/>
      <c r="E51" s="45"/>
      <c r="F51" s="45"/>
      <c r="G51" s="45"/>
      <c r="H51" s="45"/>
      <c r="I51" s="39"/>
      <c r="J51" s="39"/>
      <c r="K51" s="42"/>
      <c r="L51" s="4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4"/>
      <c r="C52" s="39"/>
      <c r="D52" s="39"/>
      <c r="E52" s="45"/>
      <c r="F52" s="45"/>
      <c r="G52" s="45"/>
      <c r="H52" s="45"/>
      <c r="I52" s="39"/>
      <c r="J52" s="39"/>
      <c r="K52" s="42"/>
      <c r="L52" s="4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9"/>
      <c r="B53" s="47"/>
      <c r="C53" s="39"/>
      <c r="D53" s="39"/>
      <c r="E53" s="45"/>
      <c r="F53" s="45"/>
      <c r="G53" s="45"/>
      <c r="H53" s="45"/>
      <c r="I53" s="39"/>
      <c r="J53" s="39"/>
      <c r="K53" s="42"/>
      <c r="L53" s="46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7"/>
      <c r="C54" s="39"/>
      <c r="D54" s="39"/>
      <c r="E54" s="45"/>
      <c r="F54" s="45"/>
      <c r="G54" s="45"/>
      <c r="H54" s="45"/>
      <c r="I54" s="39"/>
      <c r="J54" s="39"/>
      <c r="K54" s="42"/>
      <c r="L54" s="46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7"/>
      <c r="C55" s="39"/>
      <c r="D55" s="39"/>
      <c r="E55" s="45"/>
      <c r="F55" s="45"/>
      <c r="G55" s="45"/>
      <c r="H55" s="45"/>
      <c r="I55" s="39"/>
      <c r="J55" s="39"/>
      <c r="K55" s="42"/>
      <c r="L55" s="46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1"/>
      <c r="B56" s="44"/>
      <c r="C56" s="39"/>
      <c r="D56" s="39"/>
      <c r="E56" s="45"/>
      <c r="F56" s="45"/>
      <c r="G56" s="45"/>
      <c r="H56" s="45"/>
      <c r="I56" s="39"/>
      <c r="J56" s="39"/>
      <c r="K56" s="42"/>
      <c r="L56" s="46"/>
      <c r="M56" s="1"/>
      <c r="N56" s="4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44"/>
      <c r="C57" s="39"/>
      <c r="D57" s="39"/>
      <c r="E57" s="45"/>
      <c r="F57" s="45"/>
      <c r="G57" s="45"/>
      <c r="H57" s="45"/>
      <c r="I57" s="39"/>
      <c r="J57" s="39"/>
      <c r="K57" s="42"/>
      <c r="L57" s="4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9"/>
      <c r="B58" s="44"/>
      <c r="C58" s="39"/>
      <c r="D58" s="39"/>
      <c r="E58" s="45"/>
      <c r="F58" s="45"/>
      <c r="G58" s="45"/>
      <c r="H58" s="45"/>
      <c r="I58" s="39"/>
      <c r="J58" s="39"/>
      <c r="K58" s="42"/>
      <c r="L58" s="46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1"/>
      <c r="B59" s="44"/>
      <c r="C59" s="39"/>
      <c r="D59" s="39"/>
      <c r="E59" s="45"/>
      <c r="F59" s="45"/>
      <c r="G59" s="45"/>
      <c r="H59" s="45"/>
      <c r="I59" s="39"/>
      <c r="J59" s="39"/>
      <c r="K59" s="42"/>
      <c r="L59" s="4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44"/>
      <c r="C60" s="39"/>
      <c r="D60" s="39"/>
      <c r="E60" s="45"/>
      <c r="F60" s="45"/>
      <c r="G60" s="45"/>
      <c r="H60" s="45"/>
      <c r="I60" s="39"/>
      <c r="J60" s="39"/>
      <c r="K60" s="64"/>
      <c r="L60" s="4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44"/>
      <c r="C61" s="39"/>
      <c r="D61" s="39"/>
      <c r="E61" s="45"/>
      <c r="F61" s="45"/>
      <c r="G61" s="45"/>
      <c r="H61" s="45"/>
      <c r="I61" s="39"/>
      <c r="J61" s="39"/>
      <c r="K61" s="65"/>
      <c r="L61" s="4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44"/>
      <c r="C62" s="39"/>
      <c r="D62" s="39"/>
      <c r="E62" s="45"/>
      <c r="F62" s="45"/>
      <c r="G62" s="45"/>
      <c r="H62" s="45"/>
      <c r="I62" s="39"/>
      <c r="J62" s="39"/>
      <c r="K62" s="65"/>
      <c r="L62" s="4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4"/>
      <c r="C63" s="39"/>
      <c r="D63" s="39"/>
      <c r="E63" s="45"/>
      <c r="F63" s="45"/>
      <c r="G63" s="45"/>
      <c r="H63" s="45"/>
      <c r="I63" s="39"/>
      <c r="J63" s="39"/>
      <c r="K63" s="65"/>
      <c r="L63" s="4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3">
        <f>SUM(B40:B63)</f>
        <v>0</v>
      </c>
      <c r="C64" s="54"/>
      <c r="D64" s="55"/>
      <c r="E64" s="56">
        <f t="shared" ref="E64:H64" si="2">SUM(E40:E63)</f>
        <v>0</v>
      </c>
      <c r="F64" s="57">
        <f t="shared" si="2"/>
        <v>0</v>
      </c>
      <c r="G64" s="56">
        <f t="shared" si="2"/>
        <v>0</v>
      </c>
      <c r="H64" s="66">
        <f t="shared" si="2"/>
        <v>0</v>
      </c>
      <c r="I64" s="54"/>
      <c r="J64" s="58"/>
      <c r="K64" s="58"/>
      <c r="L64" s="5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"/>
      <c r="C68" s="3"/>
      <c r="D68" s="4" t="s">
        <v>1</v>
      </c>
      <c r="E68" s="5" t="s">
        <v>20</v>
      </c>
      <c r="F68" s="6"/>
      <c r="G68" s="6"/>
      <c r="H68" s="7"/>
      <c r="I68" s="8" t="s">
        <v>3</v>
      </c>
      <c r="J68" s="59" t="s">
        <v>4</v>
      </c>
      <c r="K68" s="10"/>
      <c r="L68" s="60" t="s">
        <v>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2" t="s">
        <v>6</v>
      </c>
      <c r="C69" s="61" t="s">
        <v>7</v>
      </c>
      <c r="D69" s="14" t="s">
        <v>18</v>
      </c>
      <c r="E69" s="16">
        <v>10000.0</v>
      </c>
      <c r="F69" s="16">
        <v>18250.0</v>
      </c>
      <c r="G69" s="16">
        <v>21500.0</v>
      </c>
      <c r="H69" s="17">
        <v>62000.0</v>
      </c>
      <c r="I69" s="62">
        <v>3.0</v>
      </c>
      <c r="J69" s="19" t="s">
        <v>8</v>
      </c>
      <c r="K69" s="63" t="s">
        <v>9</v>
      </c>
      <c r="L69" s="2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2"/>
      <c r="C70" s="1"/>
      <c r="D70" s="23"/>
      <c r="E70" s="1"/>
      <c r="F70" s="1"/>
      <c r="G70" s="1"/>
      <c r="H70" s="1"/>
      <c r="I70" s="1"/>
      <c r="J70" s="1"/>
      <c r="K70" s="1"/>
      <c r="L70" s="2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5"/>
      <c r="C71" s="26"/>
      <c r="D71" s="26"/>
      <c r="E71" s="26"/>
      <c r="F71" s="26"/>
      <c r="G71" s="26"/>
      <c r="H71" s="26"/>
      <c r="I71" s="26"/>
      <c r="J71" s="26"/>
      <c r="K71" s="1"/>
      <c r="L71" s="2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27" t="s">
        <v>10</v>
      </c>
      <c r="C72" s="27" t="s">
        <v>11</v>
      </c>
      <c r="D72" s="27"/>
      <c r="E72" s="27"/>
      <c r="F72" s="27"/>
      <c r="G72" s="27"/>
      <c r="H72" s="29"/>
      <c r="I72" s="27" t="s">
        <v>13</v>
      </c>
      <c r="J72" s="30" t="s">
        <v>14</v>
      </c>
      <c r="K72" s="31" t="s">
        <v>15</v>
      </c>
      <c r="L72" s="27" t="s">
        <v>16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8"/>
      <c r="C73" s="40"/>
      <c r="D73" s="40"/>
      <c r="E73" s="41"/>
      <c r="F73" s="41"/>
      <c r="G73" s="41"/>
      <c r="H73" s="41"/>
      <c r="I73" s="40"/>
      <c r="J73" s="40"/>
      <c r="K73" s="65"/>
      <c r="L73" s="6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44"/>
      <c r="C74" s="40"/>
      <c r="D74" s="40"/>
      <c r="E74" s="41"/>
      <c r="F74" s="41"/>
      <c r="G74" s="41"/>
      <c r="H74" s="41"/>
      <c r="I74" s="40"/>
      <c r="J74" s="40"/>
      <c r="K74" s="65"/>
      <c r="L74" s="4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44"/>
      <c r="C75" s="40"/>
      <c r="D75" s="40"/>
      <c r="E75" s="41"/>
      <c r="F75" s="41"/>
      <c r="G75" s="41"/>
      <c r="H75" s="41"/>
      <c r="I75" s="40"/>
      <c r="J75" s="40"/>
      <c r="K75" s="65"/>
      <c r="L75" s="4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44"/>
      <c r="C76" s="40"/>
      <c r="D76" s="40"/>
      <c r="E76" s="41"/>
      <c r="F76" s="41"/>
      <c r="G76" s="41"/>
      <c r="H76" s="41"/>
      <c r="I76" s="40"/>
      <c r="J76" s="40"/>
      <c r="K76" s="65"/>
      <c r="L76" s="4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44"/>
      <c r="C77" s="39"/>
      <c r="D77" s="40"/>
      <c r="E77" s="41"/>
      <c r="F77" s="41"/>
      <c r="G77" s="41"/>
      <c r="H77" s="41"/>
      <c r="I77" s="40"/>
      <c r="J77" s="40"/>
      <c r="K77" s="65"/>
      <c r="L77" s="4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44"/>
      <c r="C78" s="39"/>
      <c r="D78" s="40"/>
      <c r="E78" s="41"/>
      <c r="F78" s="41"/>
      <c r="G78" s="41"/>
      <c r="H78" s="41"/>
      <c r="I78" s="40"/>
      <c r="J78" s="40"/>
      <c r="K78" s="65"/>
      <c r="L78" s="4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44"/>
      <c r="C79" s="39"/>
      <c r="D79" s="40"/>
      <c r="E79" s="41"/>
      <c r="F79" s="41"/>
      <c r="G79" s="41"/>
      <c r="H79" s="41"/>
      <c r="I79" s="40"/>
      <c r="J79" s="40"/>
      <c r="K79" s="65"/>
      <c r="L79" s="4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44"/>
      <c r="C80" s="39"/>
      <c r="D80" s="40"/>
      <c r="E80" s="41"/>
      <c r="F80" s="41"/>
      <c r="G80" s="41"/>
      <c r="H80" s="41"/>
      <c r="I80" s="40"/>
      <c r="J80" s="40"/>
      <c r="K80" s="65"/>
      <c r="L80" s="4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44"/>
      <c r="C81" s="39"/>
      <c r="D81" s="40"/>
      <c r="E81" s="41"/>
      <c r="F81" s="41"/>
      <c r="G81" s="41"/>
      <c r="H81" s="41"/>
      <c r="I81" s="40"/>
      <c r="J81" s="40"/>
      <c r="K81" s="65"/>
      <c r="L81" s="4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44"/>
      <c r="C82" s="39"/>
      <c r="D82" s="40"/>
      <c r="E82" s="41"/>
      <c r="F82" s="41"/>
      <c r="G82" s="41"/>
      <c r="H82" s="41"/>
      <c r="I82" s="40"/>
      <c r="J82" s="40"/>
      <c r="K82" s="65"/>
      <c r="L82" s="4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44"/>
      <c r="C83" s="40"/>
      <c r="D83" s="40"/>
      <c r="E83" s="41"/>
      <c r="F83" s="41"/>
      <c r="G83" s="41"/>
      <c r="H83" s="41"/>
      <c r="I83" s="40"/>
      <c r="J83" s="40"/>
      <c r="K83" s="65"/>
      <c r="L83" s="4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44"/>
      <c r="C84" s="39"/>
      <c r="D84" s="39"/>
      <c r="E84" s="45"/>
      <c r="F84" s="45"/>
      <c r="G84" s="45"/>
      <c r="H84" s="45"/>
      <c r="I84" s="39"/>
      <c r="J84" s="39"/>
      <c r="K84" s="65"/>
      <c r="L84" s="4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44"/>
      <c r="C85" s="39"/>
      <c r="D85" s="39"/>
      <c r="E85" s="45"/>
      <c r="F85" s="45"/>
      <c r="G85" s="45"/>
      <c r="H85" s="45"/>
      <c r="I85" s="39"/>
      <c r="J85" s="39"/>
      <c r="K85" s="65"/>
      <c r="L85" s="4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44"/>
      <c r="C86" s="39"/>
      <c r="D86" s="39"/>
      <c r="E86" s="45"/>
      <c r="F86" s="45"/>
      <c r="G86" s="45"/>
      <c r="H86" s="45"/>
      <c r="I86" s="39"/>
      <c r="J86" s="39"/>
      <c r="K86" s="64"/>
      <c r="L86" s="4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44"/>
      <c r="C87" s="39"/>
      <c r="D87" s="39"/>
      <c r="E87" s="45"/>
      <c r="F87" s="45"/>
      <c r="G87" s="45"/>
      <c r="H87" s="45"/>
      <c r="I87" s="39"/>
      <c r="J87" s="39"/>
      <c r="K87" s="64"/>
      <c r="L87" s="4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44"/>
      <c r="C88" s="39"/>
      <c r="D88" s="39"/>
      <c r="E88" s="45"/>
      <c r="F88" s="45"/>
      <c r="G88" s="45"/>
      <c r="H88" s="45"/>
      <c r="I88" s="39"/>
      <c r="J88" s="39"/>
      <c r="K88" s="64"/>
      <c r="L88" s="4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44"/>
      <c r="C89" s="39"/>
      <c r="D89" s="39"/>
      <c r="E89" s="45"/>
      <c r="F89" s="45"/>
      <c r="G89" s="45"/>
      <c r="H89" s="45"/>
      <c r="I89" s="39"/>
      <c r="J89" s="39"/>
      <c r="K89" s="64"/>
      <c r="L89" s="4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44"/>
      <c r="C90" s="39"/>
      <c r="D90" s="39"/>
      <c r="E90" s="45"/>
      <c r="F90" s="45"/>
      <c r="G90" s="45"/>
      <c r="H90" s="45"/>
      <c r="I90" s="39"/>
      <c r="J90" s="39"/>
      <c r="K90" s="64"/>
      <c r="L90" s="4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44"/>
      <c r="C91" s="39"/>
      <c r="D91" s="39"/>
      <c r="E91" s="45"/>
      <c r="F91" s="45"/>
      <c r="G91" s="45"/>
      <c r="H91" s="45"/>
      <c r="I91" s="39"/>
      <c r="J91" s="39"/>
      <c r="K91" s="64"/>
      <c r="L91" s="4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44"/>
      <c r="C92" s="39"/>
      <c r="D92" s="39"/>
      <c r="E92" s="45"/>
      <c r="F92" s="45"/>
      <c r="G92" s="45"/>
      <c r="H92" s="45"/>
      <c r="I92" s="39"/>
      <c r="J92" s="39"/>
      <c r="K92" s="64"/>
      <c r="L92" s="4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4"/>
      <c r="C93" s="39"/>
      <c r="D93" s="39"/>
      <c r="E93" s="45"/>
      <c r="F93" s="45"/>
      <c r="G93" s="45"/>
      <c r="H93" s="45"/>
      <c r="I93" s="39"/>
      <c r="J93" s="39"/>
      <c r="K93" s="64"/>
      <c r="L93" s="4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44"/>
      <c r="C94" s="39"/>
      <c r="D94" s="39"/>
      <c r="E94" s="45"/>
      <c r="F94" s="45"/>
      <c r="G94" s="45"/>
      <c r="H94" s="45"/>
      <c r="I94" s="39"/>
      <c r="J94" s="39"/>
      <c r="K94" s="64"/>
      <c r="L94" s="4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44"/>
      <c r="C95" s="39"/>
      <c r="D95" s="39"/>
      <c r="E95" s="45"/>
      <c r="F95" s="45"/>
      <c r="G95" s="45"/>
      <c r="H95" s="45"/>
      <c r="I95" s="39"/>
      <c r="J95" s="39"/>
      <c r="K95" s="64"/>
      <c r="L95" s="4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44"/>
      <c r="C96" s="39"/>
      <c r="D96" s="39"/>
      <c r="E96" s="45"/>
      <c r="F96" s="45"/>
      <c r="G96" s="45"/>
      <c r="H96" s="45"/>
      <c r="I96" s="39"/>
      <c r="J96" s="39"/>
      <c r="K96" s="64"/>
      <c r="L96" s="4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3">
        <f>SUM(B73:B96)</f>
        <v>0</v>
      </c>
      <c r="C97" s="54"/>
      <c r="D97" s="55"/>
      <c r="E97" s="56"/>
      <c r="F97" s="57"/>
      <c r="G97" s="56"/>
      <c r="H97" s="66"/>
      <c r="I97" s="54"/>
      <c r="J97" s="58"/>
      <c r="K97" s="58"/>
      <c r="L97" s="5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3"/>
      <c r="D101" s="4" t="s">
        <v>1</v>
      </c>
      <c r="E101" s="5" t="s">
        <v>21</v>
      </c>
      <c r="F101" s="6"/>
      <c r="G101" s="6"/>
      <c r="H101" s="7"/>
      <c r="I101" s="8" t="s">
        <v>3</v>
      </c>
      <c r="J101" s="59" t="s">
        <v>4</v>
      </c>
      <c r="K101" s="10"/>
      <c r="L101" s="60" t="s">
        <v>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2" t="s">
        <v>6</v>
      </c>
      <c r="C102" s="61" t="s">
        <v>7</v>
      </c>
      <c r="D102" s="14" t="s">
        <v>18</v>
      </c>
      <c r="E102" s="16">
        <v>10000.0</v>
      </c>
      <c r="F102" s="16">
        <v>18250.0</v>
      </c>
      <c r="G102" s="16">
        <v>21500.0</v>
      </c>
      <c r="H102" s="17">
        <v>62000.0</v>
      </c>
      <c r="I102" s="62">
        <v>4.0</v>
      </c>
      <c r="J102" s="19" t="s">
        <v>8</v>
      </c>
      <c r="K102" s="63" t="s">
        <v>9</v>
      </c>
      <c r="L102" s="2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2"/>
      <c r="C103" s="1"/>
      <c r="D103" s="23"/>
      <c r="E103" s="1"/>
      <c r="F103" s="1"/>
      <c r="G103" s="1"/>
      <c r="H103" s="1"/>
      <c r="I103" s="1"/>
      <c r="J103" s="1"/>
      <c r="K103" s="1"/>
      <c r="L103" s="2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5"/>
      <c r="C104" s="26"/>
      <c r="D104" s="26"/>
      <c r="E104" s="26"/>
      <c r="F104" s="26"/>
      <c r="G104" s="26"/>
      <c r="H104" s="26"/>
      <c r="I104" s="26"/>
      <c r="J104" s="26"/>
      <c r="K104" s="1"/>
      <c r="L104" s="2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7" t="s">
        <v>10</v>
      </c>
      <c r="C105" s="27" t="s">
        <v>11</v>
      </c>
      <c r="D105" s="27" t="s">
        <v>19</v>
      </c>
      <c r="E105" s="27">
        <v>5.0</v>
      </c>
      <c r="F105" s="27">
        <v>11.0</v>
      </c>
      <c r="G105" s="27">
        <v>15.0</v>
      </c>
      <c r="H105" s="29">
        <v>45.0</v>
      </c>
      <c r="I105" s="27" t="s">
        <v>13</v>
      </c>
      <c r="J105" s="30" t="s">
        <v>14</v>
      </c>
      <c r="K105" s="31" t="s">
        <v>15</v>
      </c>
      <c r="L105" s="27" t="s">
        <v>16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8"/>
      <c r="C106" s="40"/>
      <c r="D106" s="40"/>
      <c r="E106" s="41"/>
      <c r="F106" s="41"/>
      <c r="G106" s="41"/>
      <c r="H106" s="41"/>
      <c r="I106" s="40"/>
      <c r="J106" s="40"/>
      <c r="K106" s="42"/>
      <c r="L106" s="4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44"/>
      <c r="C107" s="40"/>
      <c r="D107" s="40"/>
      <c r="E107" s="41"/>
      <c r="F107" s="41"/>
      <c r="G107" s="41"/>
      <c r="H107" s="41"/>
      <c r="I107" s="40"/>
      <c r="J107" s="40"/>
      <c r="K107" s="42"/>
      <c r="L107" s="4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44"/>
      <c r="C108" s="40"/>
      <c r="D108" s="40"/>
      <c r="E108" s="41"/>
      <c r="F108" s="41"/>
      <c r="G108" s="41"/>
      <c r="H108" s="41"/>
      <c r="I108" s="40"/>
      <c r="J108" s="40"/>
      <c r="K108" s="42"/>
      <c r="L108" s="4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44"/>
      <c r="C109" s="40"/>
      <c r="D109" s="40"/>
      <c r="E109" s="41"/>
      <c r="F109" s="41"/>
      <c r="G109" s="41"/>
      <c r="H109" s="41"/>
      <c r="I109" s="40"/>
      <c r="J109" s="40"/>
      <c r="K109" s="42"/>
      <c r="L109" s="4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44"/>
      <c r="C110" s="40"/>
      <c r="D110" s="40"/>
      <c r="E110" s="41"/>
      <c r="F110" s="41"/>
      <c r="G110" s="41"/>
      <c r="H110" s="41"/>
      <c r="I110" s="40"/>
      <c r="J110" s="40"/>
      <c r="K110" s="42"/>
      <c r="L110" s="4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44"/>
      <c r="C111" s="39"/>
      <c r="D111" s="39"/>
      <c r="E111" s="45"/>
      <c r="F111" s="45"/>
      <c r="G111" s="45"/>
      <c r="H111" s="45"/>
      <c r="I111" s="39"/>
      <c r="J111" s="39"/>
      <c r="K111" s="42"/>
      <c r="L111" s="4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44"/>
      <c r="C112" s="39"/>
      <c r="D112" s="39"/>
      <c r="E112" s="45"/>
      <c r="F112" s="45"/>
      <c r="G112" s="45"/>
      <c r="H112" s="45"/>
      <c r="I112" s="39"/>
      <c r="J112" s="39"/>
      <c r="K112" s="42"/>
      <c r="L112" s="4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44"/>
      <c r="C113" s="39"/>
      <c r="D113" s="39"/>
      <c r="E113" s="45"/>
      <c r="F113" s="45"/>
      <c r="G113" s="45"/>
      <c r="H113" s="45"/>
      <c r="I113" s="39"/>
      <c r="J113" s="39"/>
      <c r="K113" s="42"/>
      <c r="L113" s="4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44"/>
      <c r="C114" s="39"/>
      <c r="D114" s="39"/>
      <c r="E114" s="45"/>
      <c r="F114" s="45"/>
      <c r="G114" s="45"/>
      <c r="H114" s="45"/>
      <c r="I114" s="39"/>
      <c r="J114" s="39"/>
      <c r="K114" s="42"/>
      <c r="L114" s="46"/>
      <c r="M114" s="1"/>
      <c r="N114" s="4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4"/>
      <c r="C115" s="39"/>
      <c r="D115" s="39"/>
      <c r="E115" s="45"/>
      <c r="F115" s="45"/>
      <c r="G115" s="45"/>
      <c r="H115" s="45"/>
      <c r="I115" s="39"/>
      <c r="J115" s="39"/>
      <c r="K115" s="42"/>
      <c r="L115" s="4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44"/>
      <c r="C116" s="39"/>
      <c r="D116" s="39"/>
      <c r="E116" s="45"/>
      <c r="F116" s="45"/>
      <c r="G116" s="45"/>
      <c r="H116" s="45"/>
      <c r="I116" s="39"/>
      <c r="J116" s="39"/>
      <c r="K116" s="42"/>
      <c r="L116" s="46"/>
      <c r="M116" s="1"/>
      <c r="N116" s="4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44"/>
      <c r="C117" s="39"/>
      <c r="D117" s="39"/>
      <c r="E117" s="45"/>
      <c r="F117" s="45"/>
      <c r="G117" s="45"/>
      <c r="H117" s="45"/>
      <c r="I117" s="39"/>
      <c r="J117" s="39"/>
      <c r="K117" s="42"/>
      <c r="L117" s="4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44"/>
      <c r="C118" s="39"/>
      <c r="D118" s="39"/>
      <c r="E118" s="45"/>
      <c r="F118" s="45"/>
      <c r="G118" s="45"/>
      <c r="H118" s="45"/>
      <c r="I118" s="39"/>
      <c r="J118" s="39"/>
      <c r="K118" s="42"/>
      <c r="L118" s="4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44"/>
      <c r="C119" s="39"/>
      <c r="D119" s="39"/>
      <c r="E119" s="45"/>
      <c r="F119" s="45"/>
      <c r="G119" s="45"/>
      <c r="H119" s="45"/>
      <c r="I119" s="39"/>
      <c r="J119" s="39"/>
      <c r="K119" s="42"/>
      <c r="L119" s="4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44"/>
      <c r="C120" s="39"/>
      <c r="D120" s="39"/>
      <c r="E120" s="45"/>
      <c r="F120" s="45"/>
      <c r="G120" s="45"/>
      <c r="H120" s="45"/>
      <c r="I120" s="39"/>
      <c r="J120" s="39"/>
      <c r="K120" s="42"/>
      <c r="L120" s="4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44"/>
      <c r="C121" s="39"/>
      <c r="D121" s="39"/>
      <c r="E121" s="45"/>
      <c r="F121" s="45"/>
      <c r="G121" s="45"/>
      <c r="H121" s="45"/>
      <c r="I121" s="39"/>
      <c r="J121" s="39"/>
      <c r="K121" s="42"/>
      <c r="L121" s="4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44"/>
      <c r="C122" s="39"/>
      <c r="D122" s="39"/>
      <c r="E122" s="45"/>
      <c r="F122" s="45"/>
      <c r="G122" s="45"/>
      <c r="H122" s="45"/>
      <c r="I122" s="39"/>
      <c r="J122" s="39"/>
      <c r="K122" s="42"/>
      <c r="L122" s="4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44"/>
      <c r="C123" s="39"/>
      <c r="D123" s="39"/>
      <c r="E123" s="45"/>
      <c r="F123" s="45"/>
      <c r="G123" s="45"/>
      <c r="H123" s="45"/>
      <c r="I123" s="39"/>
      <c r="J123" s="39"/>
      <c r="K123" s="42"/>
      <c r="L123" s="4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44"/>
      <c r="C124" s="39"/>
      <c r="D124" s="39"/>
      <c r="E124" s="45"/>
      <c r="F124" s="45"/>
      <c r="G124" s="45"/>
      <c r="H124" s="45"/>
      <c r="I124" s="39"/>
      <c r="J124" s="39"/>
      <c r="K124" s="42"/>
      <c r="L124" s="46"/>
      <c r="M124" s="1"/>
      <c r="N124" s="4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44"/>
      <c r="C125" s="39"/>
      <c r="D125" s="39"/>
      <c r="E125" s="45"/>
      <c r="F125" s="45"/>
      <c r="G125" s="45"/>
      <c r="H125" s="45"/>
      <c r="I125" s="39"/>
      <c r="J125" s="39"/>
      <c r="K125" s="42"/>
      <c r="L125" s="4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44"/>
      <c r="C126" s="39"/>
      <c r="D126" s="39"/>
      <c r="E126" s="45"/>
      <c r="F126" s="45"/>
      <c r="G126" s="45"/>
      <c r="H126" s="45"/>
      <c r="I126" s="39"/>
      <c r="J126" s="39"/>
      <c r="K126" s="42"/>
      <c r="L126" s="4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44"/>
      <c r="C127" s="40"/>
      <c r="D127" s="40"/>
      <c r="E127" s="41"/>
      <c r="F127" s="41"/>
      <c r="G127" s="41"/>
      <c r="H127" s="41"/>
      <c r="I127" s="40"/>
      <c r="J127" s="39"/>
      <c r="K127" s="42"/>
      <c r="L127" s="4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44"/>
      <c r="C128" s="39"/>
      <c r="D128" s="39"/>
      <c r="E128" s="45"/>
      <c r="F128" s="45"/>
      <c r="G128" s="45"/>
      <c r="H128" s="45"/>
      <c r="I128" s="39"/>
      <c r="J128" s="39"/>
      <c r="K128" s="42"/>
      <c r="L128" s="4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44"/>
      <c r="C129" s="39"/>
      <c r="D129" s="39"/>
      <c r="E129" s="45"/>
      <c r="F129" s="45"/>
      <c r="G129" s="45"/>
      <c r="H129" s="45"/>
      <c r="I129" s="39"/>
      <c r="J129" s="39"/>
      <c r="K129" s="42"/>
      <c r="L129" s="4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44"/>
      <c r="C130" s="39"/>
      <c r="D130" s="39"/>
      <c r="E130" s="45"/>
      <c r="F130" s="45"/>
      <c r="G130" s="45"/>
      <c r="H130" s="45"/>
      <c r="I130" s="39"/>
      <c r="J130" s="39"/>
      <c r="K130" s="42"/>
      <c r="L130" s="4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3">
        <f>SUM(B106:B130)</f>
        <v>0</v>
      </c>
      <c r="C131" s="54"/>
      <c r="D131" s="55"/>
      <c r="E131" s="56">
        <f t="shared" ref="E131:H131" si="3">SUM(E106:E130)</f>
        <v>0</v>
      </c>
      <c r="F131" s="57">
        <f t="shared" si="3"/>
        <v>0</v>
      </c>
      <c r="G131" s="56">
        <f t="shared" si="3"/>
        <v>0</v>
      </c>
      <c r="H131" s="66">
        <f t="shared" si="3"/>
        <v>0</v>
      </c>
      <c r="I131" s="54"/>
      <c r="J131" s="58"/>
      <c r="K131" s="58"/>
      <c r="L131" s="5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68"/>
      <c r="F132" s="68"/>
      <c r="G132" s="68"/>
      <c r="H132" s="6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3"/>
      <c r="D134" s="4" t="s">
        <v>1</v>
      </c>
      <c r="E134" s="5" t="s">
        <v>22</v>
      </c>
      <c r="F134" s="6"/>
      <c r="G134" s="6"/>
      <c r="H134" s="7"/>
      <c r="I134" s="8" t="s">
        <v>3</v>
      </c>
      <c r="J134" s="59" t="s">
        <v>4</v>
      </c>
      <c r="K134" s="10"/>
      <c r="L134" s="60" t="s">
        <v>5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2" t="s">
        <v>6</v>
      </c>
      <c r="C135" s="61" t="s">
        <v>7</v>
      </c>
      <c r="D135" s="14" t="s">
        <v>18</v>
      </c>
      <c r="E135" s="16">
        <v>10000.0</v>
      </c>
      <c r="F135" s="16">
        <v>18250.0</v>
      </c>
      <c r="G135" s="16">
        <v>21500.0</v>
      </c>
      <c r="H135" s="17">
        <v>62000.0</v>
      </c>
      <c r="I135" s="62">
        <v>5.0</v>
      </c>
      <c r="J135" s="19" t="s">
        <v>8</v>
      </c>
      <c r="K135" s="63" t="s">
        <v>9</v>
      </c>
      <c r="L135" s="2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2"/>
      <c r="C136" s="1"/>
      <c r="D136" s="23"/>
      <c r="E136" s="1"/>
      <c r="F136" s="1"/>
      <c r="G136" s="1"/>
      <c r="H136" s="1"/>
      <c r="I136" s="1"/>
      <c r="J136" s="1"/>
      <c r="K136" s="1"/>
      <c r="L136" s="2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5"/>
      <c r="C137" s="26"/>
      <c r="D137" s="26"/>
      <c r="E137" s="26"/>
      <c r="F137" s="26"/>
      <c r="G137" s="26"/>
      <c r="H137" s="26"/>
      <c r="I137" s="26"/>
      <c r="J137" s="26"/>
      <c r="K137" s="1"/>
      <c r="L137" s="2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7" t="s">
        <v>10</v>
      </c>
      <c r="C138" s="27" t="s">
        <v>11</v>
      </c>
      <c r="D138" s="27" t="s">
        <v>19</v>
      </c>
      <c r="E138" s="27">
        <v>5.0</v>
      </c>
      <c r="F138" s="27">
        <v>11.0</v>
      </c>
      <c r="G138" s="27">
        <v>15.0</v>
      </c>
      <c r="H138" s="29">
        <v>45.0</v>
      </c>
      <c r="I138" s="27" t="s">
        <v>13</v>
      </c>
      <c r="J138" s="30" t="s">
        <v>14</v>
      </c>
      <c r="K138" s="31" t="s">
        <v>15</v>
      </c>
      <c r="L138" s="27" t="s">
        <v>16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38"/>
      <c r="C139" s="39"/>
      <c r="D139" s="40"/>
      <c r="E139" s="41"/>
      <c r="F139" s="41"/>
      <c r="G139" s="41"/>
      <c r="H139" s="41"/>
      <c r="I139" s="40"/>
      <c r="J139" s="40"/>
      <c r="K139" s="42"/>
      <c r="L139" s="6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44"/>
      <c r="C140" s="39"/>
      <c r="D140" s="40"/>
      <c r="E140" s="41"/>
      <c r="F140" s="41"/>
      <c r="G140" s="41"/>
      <c r="H140" s="41"/>
      <c r="I140" s="40"/>
      <c r="J140" s="40"/>
      <c r="K140" s="42"/>
      <c r="L140" s="6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4"/>
      <c r="C141" s="39"/>
      <c r="D141" s="40"/>
      <c r="E141" s="41"/>
      <c r="F141" s="41"/>
      <c r="G141" s="41"/>
      <c r="H141" s="41"/>
      <c r="I141" s="40"/>
      <c r="J141" s="40"/>
      <c r="K141" s="42"/>
      <c r="L141" s="6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44"/>
      <c r="C142" s="39"/>
      <c r="D142" s="40"/>
      <c r="E142" s="41"/>
      <c r="F142" s="41"/>
      <c r="G142" s="41"/>
      <c r="H142" s="41"/>
      <c r="I142" s="40"/>
      <c r="J142" s="40"/>
      <c r="K142" s="42"/>
      <c r="L142" s="69"/>
      <c r="M142" s="1"/>
      <c r="N142" s="4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44"/>
      <c r="C143" s="39"/>
      <c r="D143" s="40"/>
      <c r="E143" s="41"/>
      <c r="F143" s="41"/>
      <c r="G143" s="41"/>
      <c r="H143" s="41"/>
      <c r="I143" s="40"/>
      <c r="J143" s="40"/>
      <c r="K143" s="42"/>
      <c r="L143" s="6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9"/>
      <c r="B144" s="44"/>
      <c r="C144" s="39"/>
      <c r="D144" s="40"/>
      <c r="E144" s="41"/>
      <c r="F144" s="41"/>
      <c r="G144" s="41"/>
      <c r="H144" s="41"/>
      <c r="I144" s="40"/>
      <c r="J144" s="40"/>
      <c r="K144" s="42"/>
      <c r="L144" s="6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1"/>
      <c r="B145" s="44"/>
      <c r="C145" s="39"/>
      <c r="D145" s="40"/>
      <c r="E145" s="41"/>
      <c r="F145" s="41"/>
      <c r="G145" s="41"/>
      <c r="H145" s="41"/>
      <c r="I145" s="40"/>
      <c r="J145" s="40"/>
      <c r="K145" s="42"/>
      <c r="L145" s="6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44"/>
      <c r="C146" s="39"/>
      <c r="D146" s="39"/>
      <c r="E146" s="45"/>
      <c r="F146" s="45"/>
      <c r="G146" s="45"/>
      <c r="H146" s="45"/>
      <c r="I146" s="39"/>
      <c r="J146" s="70"/>
      <c r="K146" s="64"/>
      <c r="L146" s="4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44"/>
      <c r="C147" s="39"/>
      <c r="D147" s="39"/>
      <c r="E147" s="45"/>
      <c r="F147" s="45"/>
      <c r="G147" s="45"/>
      <c r="H147" s="45"/>
      <c r="I147" s="39"/>
      <c r="J147" s="70"/>
      <c r="K147" s="64"/>
      <c r="L147" s="4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49"/>
      <c r="B148" s="47"/>
      <c r="C148" s="39"/>
      <c r="D148" s="39"/>
      <c r="E148" s="45"/>
      <c r="F148" s="45"/>
      <c r="G148" s="45"/>
      <c r="H148" s="45"/>
      <c r="I148" s="39"/>
      <c r="J148" s="70"/>
      <c r="K148" s="64"/>
      <c r="L148" s="46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7"/>
      <c r="C149" s="39"/>
      <c r="D149" s="39"/>
      <c r="E149" s="45"/>
      <c r="F149" s="45"/>
      <c r="G149" s="45"/>
      <c r="H149" s="45"/>
      <c r="I149" s="39"/>
      <c r="J149" s="70"/>
      <c r="K149" s="64"/>
      <c r="L149" s="46"/>
      <c r="M149" s="49"/>
      <c r="N149" s="49"/>
      <c r="O149" s="71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7"/>
      <c r="C150" s="39"/>
      <c r="D150" s="39"/>
      <c r="E150" s="45"/>
      <c r="F150" s="45"/>
      <c r="G150" s="45"/>
      <c r="H150" s="45"/>
      <c r="I150" s="39"/>
      <c r="J150" s="70"/>
      <c r="K150" s="64"/>
      <c r="L150" s="46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7"/>
      <c r="C151" s="72"/>
      <c r="D151" s="72"/>
      <c r="E151" s="73"/>
      <c r="F151" s="73"/>
      <c r="G151" s="73"/>
      <c r="H151" s="73"/>
      <c r="I151" s="72"/>
      <c r="J151" s="72"/>
      <c r="K151" s="65"/>
      <c r="L151" s="74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7"/>
      <c r="C152" s="72"/>
      <c r="D152" s="72"/>
      <c r="E152" s="73"/>
      <c r="F152" s="73"/>
      <c r="G152" s="73"/>
      <c r="H152" s="73"/>
      <c r="I152" s="72"/>
      <c r="J152" s="72"/>
      <c r="K152" s="65"/>
      <c r="L152" s="74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7"/>
      <c r="C153" s="39"/>
      <c r="D153" s="72"/>
      <c r="E153" s="73"/>
      <c r="F153" s="73"/>
      <c r="G153" s="73"/>
      <c r="H153" s="73"/>
      <c r="I153" s="72"/>
      <c r="J153" s="72"/>
      <c r="K153" s="65"/>
      <c r="L153" s="74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1"/>
      <c r="B154" s="44"/>
      <c r="C154" s="39"/>
      <c r="D154" s="72"/>
      <c r="E154" s="73"/>
      <c r="F154" s="73"/>
      <c r="G154" s="73"/>
      <c r="H154" s="73"/>
      <c r="I154" s="72"/>
      <c r="J154" s="72"/>
      <c r="K154" s="65"/>
      <c r="L154" s="7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75"/>
      <c r="C155" s="76"/>
      <c r="D155" s="76"/>
      <c r="E155" s="77"/>
      <c r="F155" s="77"/>
      <c r="G155" s="77"/>
      <c r="H155" s="77"/>
      <c r="I155" s="76"/>
      <c r="J155" s="78"/>
      <c r="K155" s="79"/>
      <c r="L155" s="80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75"/>
      <c r="C156" s="76"/>
      <c r="D156" s="76"/>
      <c r="E156" s="77"/>
      <c r="F156" s="77"/>
      <c r="G156" s="77"/>
      <c r="H156" s="77"/>
      <c r="I156" s="76"/>
      <c r="J156" s="76"/>
      <c r="K156" s="79"/>
      <c r="L156" s="80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44"/>
      <c r="C157" s="39"/>
      <c r="D157" s="39"/>
      <c r="E157" s="45"/>
      <c r="F157" s="45"/>
      <c r="G157" s="45"/>
      <c r="H157" s="45"/>
      <c r="I157" s="39"/>
      <c r="J157" s="39"/>
      <c r="K157" s="64"/>
      <c r="L157" s="4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44"/>
      <c r="C158" s="39"/>
      <c r="D158" s="39"/>
      <c r="E158" s="45"/>
      <c r="F158" s="45"/>
      <c r="G158" s="45"/>
      <c r="H158" s="45"/>
      <c r="I158" s="39"/>
      <c r="J158" s="39"/>
      <c r="K158" s="64"/>
      <c r="L158" s="4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44"/>
      <c r="C159" s="39"/>
      <c r="D159" s="39"/>
      <c r="E159" s="45"/>
      <c r="F159" s="45"/>
      <c r="G159" s="45"/>
      <c r="H159" s="45"/>
      <c r="I159" s="39"/>
      <c r="J159" s="39"/>
      <c r="K159" s="64"/>
      <c r="L159" s="46"/>
      <c r="M159" s="1"/>
      <c r="N159" s="4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44"/>
      <c r="C160" s="39"/>
      <c r="D160" s="39"/>
      <c r="E160" s="45"/>
      <c r="F160" s="45"/>
      <c r="G160" s="45"/>
      <c r="H160" s="45"/>
      <c r="I160" s="39"/>
      <c r="J160" s="39"/>
      <c r="K160" s="64"/>
      <c r="L160" s="46"/>
      <c r="M160" s="1"/>
      <c r="N160" s="4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44"/>
      <c r="C161" s="39"/>
      <c r="D161" s="39"/>
      <c r="E161" s="45"/>
      <c r="F161" s="45"/>
      <c r="G161" s="45"/>
      <c r="H161" s="45"/>
      <c r="I161" s="39"/>
      <c r="J161" s="39"/>
      <c r="K161" s="64"/>
      <c r="L161" s="46"/>
      <c r="M161" s="1"/>
      <c r="N161" s="4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44"/>
      <c r="C162" s="39"/>
      <c r="D162" s="39"/>
      <c r="E162" s="45"/>
      <c r="F162" s="45"/>
      <c r="G162" s="45"/>
      <c r="H162" s="45"/>
      <c r="I162" s="39"/>
      <c r="J162" s="39"/>
      <c r="K162" s="64"/>
      <c r="L162" s="4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44"/>
      <c r="C163" s="39"/>
      <c r="D163" s="39"/>
      <c r="E163" s="45"/>
      <c r="F163" s="45"/>
      <c r="G163" s="45"/>
      <c r="H163" s="45"/>
      <c r="I163" s="39"/>
      <c r="J163" s="39"/>
      <c r="K163" s="64"/>
      <c r="L163" s="4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3">
        <f>SUM(B139:B163)</f>
        <v>0</v>
      </c>
      <c r="C164" s="54"/>
      <c r="D164" s="55"/>
      <c r="E164" s="56">
        <f t="shared" ref="E164:H164" si="4">SUM(E139:E163)</f>
        <v>0</v>
      </c>
      <c r="F164" s="57">
        <f t="shared" si="4"/>
        <v>0</v>
      </c>
      <c r="G164" s="56">
        <f t="shared" si="4"/>
        <v>0</v>
      </c>
      <c r="H164" s="66">
        <f t="shared" si="4"/>
        <v>0</v>
      </c>
      <c r="I164" s="54"/>
      <c r="J164" s="58"/>
      <c r="K164" s="58"/>
      <c r="L164" s="5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68"/>
      <c r="F165" s="68"/>
      <c r="G165" s="68"/>
      <c r="H165" s="6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3"/>
      <c r="D167" s="4" t="s">
        <v>1</v>
      </c>
      <c r="E167" s="5" t="s">
        <v>23</v>
      </c>
      <c r="F167" s="6"/>
      <c r="G167" s="6"/>
      <c r="H167" s="7"/>
      <c r="I167" s="8" t="s">
        <v>3</v>
      </c>
      <c r="J167" s="59" t="s">
        <v>4</v>
      </c>
      <c r="K167" s="10"/>
      <c r="L167" s="60" t="s">
        <v>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2" t="s">
        <v>6</v>
      </c>
      <c r="C168" s="61" t="s">
        <v>7</v>
      </c>
      <c r="D168" s="14" t="s">
        <v>18</v>
      </c>
      <c r="E168" s="16">
        <v>10000.0</v>
      </c>
      <c r="F168" s="16">
        <v>18250.0</v>
      </c>
      <c r="G168" s="16">
        <v>21500.0</v>
      </c>
      <c r="H168" s="17">
        <v>62000.0</v>
      </c>
      <c r="I168" s="62">
        <v>6.0</v>
      </c>
      <c r="J168" s="19" t="s">
        <v>8</v>
      </c>
      <c r="K168" s="63" t="s">
        <v>9</v>
      </c>
      <c r="L168" s="2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2"/>
      <c r="C169" s="1"/>
      <c r="D169" s="23"/>
      <c r="E169" s="1"/>
      <c r="F169" s="1"/>
      <c r="G169" s="1"/>
      <c r="H169" s="1"/>
      <c r="I169" s="1"/>
      <c r="J169" s="1"/>
      <c r="K169" s="1"/>
      <c r="L169" s="2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5"/>
      <c r="C170" s="26"/>
      <c r="D170" s="26"/>
      <c r="E170" s="26"/>
      <c r="F170" s="26"/>
      <c r="G170" s="26"/>
      <c r="H170" s="26"/>
      <c r="I170" s="26"/>
      <c r="J170" s="26"/>
      <c r="K170" s="1"/>
      <c r="L170" s="2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7" t="s">
        <v>10</v>
      </c>
      <c r="C171" s="27" t="s">
        <v>11</v>
      </c>
      <c r="D171" s="27" t="s">
        <v>19</v>
      </c>
      <c r="E171" s="27">
        <v>5.0</v>
      </c>
      <c r="F171" s="27">
        <v>11.0</v>
      </c>
      <c r="G171" s="27">
        <v>15.0</v>
      </c>
      <c r="H171" s="29">
        <v>45.0</v>
      </c>
      <c r="I171" s="27" t="s">
        <v>13</v>
      </c>
      <c r="J171" s="30" t="s">
        <v>14</v>
      </c>
      <c r="K171" s="31" t="s">
        <v>15</v>
      </c>
      <c r="L171" s="27" t="s">
        <v>16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38"/>
      <c r="C172" s="39"/>
      <c r="D172" s="40"/>
      <c r="E172" s="41"/>
      <c r="F172" s="41"/>
      <c r="G172" s="41"/>
      <c r="H172" s="41"/>
      <c r="I172" s="40"/>
      <c r="J172" s="40"/>
      <c r="K172" s="42"/>
      <c r="L172" s="6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44"/>
      <c r="C173" s="39"/>
      <c r="D173" s="40"/>
      <c r="E173" s="41"/>
      <c r="F173" s="41"/>
      <c r="G173" s="41"/>
      <c r="H173" s="41"/>
      <c r="I173" s="40"/>
      <c r="J173" s="40"/>
      <c r="K173" s="42"/>
      <c r="L173" s="6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44"/>
      <c r="C174" s="39"/>
      <c r="D174" s="40"/>
      <c r="E174" s="41"/>
      <c r="F174" s="41"/>
      <c r="G174" s="41"/>
      <c r="H174" s="41"/>
      <c r="I174" s="40"/>
      <c r="J174" s="40"/>
      <c r="K174" s="42"/>
      <c r="L174" s="6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44"/>
      <c r="C175" s="39"/>
      <c r="D175" s="40"/>
      <c r="E175" s="41"/>
      <c r="F175" s="41"/>
      <c r="G175" s="41"/>
      <c r="H175" s="41"/>
      <c r="I175" s="40"/>
      <c r="J175" s="40"/>
      <c r="K175" s="42"/>
      <c r="L175" s="6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44"/>
      <c r="C176" s="39"/>
      <c r="D176" s="40"/>
      <c r="E176" s="41"/>
      <c r="F176" s="41"/>
      <c r="G176" s="41"/>
      <c r="H176" s="41"/>
      <c r="I176" s="40"/>
      <c r="J176" s="40"/>
      <c r="K176" s="42"/>
      <c r="L176" s="6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44"/>
      <c r="C177" s="39"/>
      <c r="D177" s="40"/>
      <c r="E177" s="41"/>
      <c r="F177" s="41"/>
      <c r="G177" s="41"/>
      <c r="H177" s="41"/>
      <c r="I177" s="40"/>
      <c r="J177" s="40"/>
      <c r="K177" s="42"/>
      <c r="L177" s="6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44"/>
      <c r="C178" s="39"/>
      <c r="D178" s="39"/>
      <c r="E178" s="45"/>
      <c r="F178" s="45"/>
      <c r="G178" s="45"/>
      <c r="H178" s="45"/>
      <c r="I178" s="39"/>
      <c r="J178" s="39"/>
      <c r="K178" s="64"/>
      <c r="L178" s="4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44"/>
      <c r="C179" s="39"/>
      <c r="D179" s="39"/>
      <c r="E179" s="45"/>
      <c r="F179" s="45"/>
      <c r="G179" s="45"/>
      <c r="H179" s="45"/>
      <c r="I179" s="39"/>
      <c r="J179" s="39"/>
      <c r="K179" s="64"/>
      <c r="L179" s="4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44"/>
      <c r="C180" s="39"/>
      <c r="D180" s="39"/>
      <c r="E180" s="45"/>
      <c r="F180" s="45"/>
      <c r="G180" s="45"/>
      <c r="H180" s="45"/>
      <c r="I180" s="39"/>
      <c r="J180" s="39"/>
      <c r="K180" s="64"/>
      <c r="L180" s="4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44"/>
      <c r="C181" s="39"/>
      <c r="D181" s="39"/>
      <c r="E181" s="45"/>
      <c r="F181" s="45"/>
      <c r="G181" s="45"/>
      <c r="H181" s="45"/>
      <c r="I181" s="39"/>
      <c r="J181" s="39"/>
      <c r="K181" s="64"/>
      <c r="L181" s="46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44"/>
      <c r="C182" s="39"/>
      <c r="D182" s="39"/>
      <c r="E182" s="45"/>
      <c r="F182" s="45"/>
      <c r="G182" s="45"/>
      <c r="H182" s="45"/>
      <c r="I182" s="39"/>
      <c r="J182" s="39"/>
      <c r="K182" s="64"/>
      <c r="L182" s="4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44"/>
      <c r="C183" s="39"/>
      <c r="D183" s="39"/>
      <c r="E183" s="45"/>
      <c r="F183" s="45"/>
      <c r="G183" s="45"/>
      <c r="H183" s="45"/>
      <c r="I183" s="39"/>
      <c r="J183" s="39"/>
      <c r="K183" s="64"/>
      <c r="L183" s="4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44"/>
      <c r="C184" s="39"/>
      <c r="D184" s="39"/>
      <c r="E184" s="45"/>
      <c r="F184" s="45"/>
      <c r="G184" s="45"/>
      <c r="H184" s="45"/>
      <c r="I184" s="39"/>
      <c r="J184" s="39"/>
      <c r="K184" s="64"/>
      <c r="L184" s="4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44"/>
      <c r="C185" s="39"/>
      <c r="D185" s="39"/>
      <c r="E185" s="45"/>
      <c r="F185" s="45"/>
      <c r="G185" s="45"/>
      <c r="H185" s="45"/>
      <c r="I185" s="39"/>
      <c r="J185" s="39"/>
      <c r="K185" s="64"/>
      <c r="L185" s="4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44"/>
      <c r="C186" s="39"/>
      <c r="D186" s="39"/>
      <c r="E186" s="45"/>
      <c r="F186" s="45"/>
      <c r="G186" s="45"/>
      <c r="H186" s="45"/>
      <c r="I186" s="39"/>
      <c r="J186" s="39"/>
      <c r="K186" s="64"/>
      <c r="L186" s="46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44"/>
      <c r="C187" s="39"/>
      <c r="D187" s="39"/>
      <c r="E187" s="45"/>
      <c r="F187" s="45"/>
      <c r="G187" s="45"/>
      <c r="H187" s="45"/>
      <c r="I187" s="39"/>
      <c r="J187" s="39"/>
      <c r="K187" s="64"/>
      <c r="L187" s="4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44"/>
      <c r="C188" s="39"/>
      <c r="D188" s="39"/>
      <c r="E188" s="45"/>
      <c r="F188" s="45"/>
      <c r="G188" s="45"/>
      <c r="H188" s="45"/>
      <c r="I188" s="39"/>
      <c r="J188" s="39"/>
      <c r="K188" s="64"/>
      <c r="L188" s="46"/>
      <c r="M188" s="1"/>
      <c r="N188" s="4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44"/>
      <c r="C189" s="39"/>
      <c r="D189" s="39"/>
      <c r="E189" s="45"/>
      <c r="F189" s="45"/>
      <c r="G189" s="45"/>
      <c r="H189" s="45"/>
      <c r="I189" s="39"/>
      <c r="J189" s="39"/>
      <c r="K189" s="64"/>
      <c r="L189" s="4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44"/>
      <c r="C190" s="39"/>
      <c r="D190" s="39"/>
      <c r="E190" s="45"/>
      <c r="F190" s="45"/>
      <c r="G190" s="45"/>
      <c r="H190" s="45"/>
      <c r="I190" s="39"/>
      <c r="J190" s="39"/>
      <c r="K190" s="64"/>
      <c r="L190" s="4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44"/>
      <c r="C191" s="39"/>
      <c r="D191" s="39"/>
      <c r="E191" s="45"/>
      <c r="F191" s="45"/>
      <c r="G191" s="45"/>
      <c r="H191" s="45"/>
      <c r="I191" s="39"/>
      <c r="J191" s="39"/>
      <c r="K191" s="64"/>
      <c r="L191" s="4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44"/>
      <c r="C192" s="39"/>
      <c r="D192" s="39"/>
      <c r="E192" s="45"/>
      <c r="F192" s="45"/>
      <c r="G192" s="45"/>
      <c r="H192" s="45"/>
      <c r="I192" s="39"/>
      <c r="J192" s="39"/>
      <c r="K192" s="64"/>
      <c r="L192" s="4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44"/>
      <c r="C193" s="39"/>
      <c r="D193" s="39"/>
      <c r="E193" s="45"/>
      <c r="F193" s="45"/>
      <c r="G193" s="45"/>
      <c r="H193" s="45"/>
      <c r="I193" s="39"/>
      <c r="J193" s="39"/>
      <c r="K193" s="64"/>
      <c r="L193" s="4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44"/>
      <c r="C194" s="39"/>
      <c r="D194" s="39"/>
      <c r="E194" s="45"/>
      <c r="F194" s="45"/>
      <c r="G194" s="45"/>
      <c r="H194" s="45"/>
      <c r="I194" s="39"/>
      <c r="J194" s="39"/>
      <c r="K194" s="64"/>
      <c r="L194" s="4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44"/>
      <c r="C195" s="39"/>
      <c r="D195" s="39"/>
      <c r="E195" s="45"/>
      <c r="F195" s="45"/>
      <c r="G195" s="45"/>
      <c r="H195" s="45"/>
      <c r="I195" s="39"/>
      <c r="J195" s="39"/>
      <c r="K195" s="64"/>
      <c r="L195" s="4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44"/>
      <c r="C196" s="39"/>
      <c r="D196" s="39"/>
      <c r="E196" s="45"/>
      <c r="F196" s="45"/>
      <c r="G196" s="45"/>
      <c r="H196" s="45"/>
      <c r="I196" s="39"/>
      <c r="J196" s="39"/>
      <c r="K196" s="64"/>
      <c r="L196" s="4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3">
        <f>SUM(B172:B196)</f>
        <v>0</v>
      </c>
      <c r="C197" s="54"/>
      <c r="D197" s="55"/>
      <c r="E197" s="56">
        <f t="shared" ref="E197:H197" si="5">SUM(E172:E196)</f>
        <v>0</v>
      </c>
      <c r="F197" s="57">
        <f t="shared" si="5"/>
        <v>0</v>
      </c>
      <c r="G197" s="56">
        <f t="shared" si="5"/>
        <v>0</v>
      </c>
      <c r="H197" s="66">
        <f t="shared" si="5"/>
        <v>0</v>
      </c>
      <c r="I197" s="54"/>
      <c r="J197" s="58"/>
      <c r="K197" s="58"/>
      <c r="L197" s="55"/>
      <c r="M197" s="1"/>
      <c r="N197" s="4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68"/>
      <c r="F198" s="68"/>
      <c r="G198" s="68"/>
      <c r="H198" s="68"/>
      <c r="I198" s="1"/>
      <c r="J198" s="1"/>
      <c r="K198" s="1"/>
      <c r="L198" s="1"/>
      <c r="M198" s="1"/>
      <c r="N198" s="4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3"/>
      <c r="D200" s="4" t="s">
        <v>1</v>
      </c>
      <c r="E200" s="5" t="s">
        <v>24</v>
      </c>
      <c r="F200" s="6"/>
      <c r="G200" s="6"/>
      <c r="H200" s="7"/>
      <c r="I200" s="8" t="s">
        <v>3</v>
      </c>
      <c r="J200" s="59" t="s">
        <v>4</v>
      </c>
      <c r="K200" s="10"/>
      <c r="L200" s="60" t="s">
        <v>5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2" t="s">
        <v>6</v>
      </c>
      <c r="C201" s="61" t="s">
        <v>7</v>
      </c>
      <c r="D201" s="14" t="s">
        <v>18</v>
      </c>
      <c r="E201" s="16">
        <v>10000.0</v>
      </c>
      <c r="F201" s="16">
        <v>18250.0</v>
      </c>
      <c r="G201" s="16">
        <v>21500.0</v>
      </c>
      <c r="H201" s="17">
        <v>62000.0</v>
      </c>
      <c r="I201" s="62">
        <v>7.0</v>
      </c>
      <c r="J201" s="19" t="s">
        <v>8</v>
      </c>
      <c r="K201" s="63" t="s">
        <v>9</v>
      </c>
      <c r="L201" s="2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2"/>
      <c r="C202" s="1"/>
      <c r="D202" s="23"/>
      <c r="E202" s="1"/>
      <c r="F202" s="1"/>
      <c r="G202" s="1"/>
      <c r="H202" s="1"/>
      <c r="I202" s="1"/>
      <c r="J202" s="1"/>
      <c r="K202" s="1"/>
      <c r="L202" s="2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5"/>
      <c r="C203" s="26"/>
      <c r="D203" s="26"/>
      <c r="E203" s="26"/>
      <c r="F203" s="26"/>
      <c r="G203" s="26"/>
      <c r="H203" s="26"/>
      <c r="I203" s="26"/>
      <c r="J203" s="26"/>
      <c r="K203" s="1"/>
      <c r="L203" s="2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B204" s="27" t="s">
        <v>10</v>
      </c>
      <c r="C204" s="27" t="s">
        <v>11</v>
      </c>
      <c r="D204" s="27" t="s">
        <v>19</v>
      </c>
      <c r="E204" s="27">
        <v>5.0</v>
      </c>
      <c r="F204" s="27">
        <v>11.0</v>
      </c>
      <c r="G204" s="27">
        <v>15.0</v>
      </c>
      <c r="H204" s="29">
        <v>45.0</v>
      </c>
      <c r="I204" s="27" t="s">
        <v>13</v>
      </c>
      <c r="J204" s="30" t="s">
        <v>14</v>
      </c>
      <c r="K204" s="31" t="s">
        <v>15</v>
      </c>
      <c r="L204" s="27" t="s">
        <v>16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38"/>
      <c r="C205" s="40"/>
      <c r="D205" s="40"/>
      <c r="E205" s="41"/>
      <c r="F205" s="41"/>
      <c r="G205" s="41"/>
      <c r="H205" s="41"/>
      <c r="I205" s="40"/>
      <c r="J205" s="40"/>
      <c r="K205" s="42"/>
      <c r="L205" s="8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44"/>
      <c r="C206" s="40"/>
      <c r="D206" s="40"/>
      <c r="E206" s="41"/>
      <c r="F206" s="41"/>
      <c r="G206" s="41"/>
      <c r="H206" s="41"/>
      <c r="I206" s="40"/>
      <c r="J206" s="40"/>
      <c r="K206" s="42"/>
      <c r="L206" s="8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44"/>
      <c r="C207" s="40"/>
      <c r="D207" s="40"/>
      <c r="E207" s="41"/>
      <c r="F207" s="41"/>
      <c r="G207" s="41"/>
      <c r="H207" s="41"/>
      <c r="I207" s="40"/>
      <c r="J207" s="40"/>
      <c r="K207" s="42"/>
      <c r="L207" s="8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44"/>
      <c r="C208" s="40"/>
      <c r="D208" s="40"/>
      <c r="E208" s="41"/>
      <c r="F208" s="41"/>
      <c r="G208" s="41"/>
      <c r="H208" s="41"/>
      <c r="I208" s="40"/>
      <c r="J208" s="40"/>
      <c r="K208" s="42"/>
      <c r="L208" s="8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44"/>
      <c r="C209" s="40"/>
      <c r="D209" s="40"/>
      <c r="E209" s="41"/>
      <c r="F209" s="41"/>
      <c r="G209" s="41"/>
      <c r="H209" s="41"/>
      <c r="I209" s="40"/>
      <c r="J209" s="40"/>
      <c r="K209" s="42"/>
      <c r="L209" s="8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44"/>
      <c r="C210" s="40"/>
      <c r="D210" s="40"/>
      <c r="E210" s="41"/>
      <c r="F210" s="41"/>
      <c r="G210" s="41"/>
      <c r="H210" s="41"/>
      <c r="I210" s="40"/>
      <c r="J210" s="40"/>
      <c r="K210" s="42"/>
      <c r="L210" s="8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44"/>
      <c r="C211" s="40"/>
      <c r="D211" s="40"/>
      <c r="E211" s="41"/>
      <c r="F211" s="41"/>
      <c r="G211" s="41"/>
      <c r="H211" s="41"/>
      <c r="I211" s="40"/>
      <c r="J211" s="40"/>
      <c r="K211" s="42"/>
      <c r="L211" s="8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44"/>
      <c r="C212" s="40"/>
      <c r="D212" s="40"/>
      <c r="E212" s="41"/>
      <c r="F212" s="41"/>
      <c r="G212" s="41"/>
      <c r="H212" s="41"/>
      <c r="I212" s="40"/>
      <c r="J212" s="40"/>
      <c r="K212" s="42"/>
      <c r="L212" s="8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44"/>
      <c r="C213" s="40"/>
      <c r="D213" s="40"/>
      <c r="E213" s="41"/>
      <c r="F213" s="41"/>
      <c r="G213" s="41"/>
      <c r="H213" s="41"/>
      <c r="I213" s="40"/>
      <c r="J213" s="40"/>
      <c r="K213" s="42"/>
      <c r="L213" s="8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44"/>
      <c r="C214" s="40"/>
      <c r="D214" s="40"/>
      <c r="E214" s="41"/>
      <c r="F214" s="41"/>
      <c r="G214" s="41"/>
      <c r="H214" s="41"/>
      <c r="I214" s="40"/>
      <c r="J214" s="40"/>
      <c r="K214" s="42"/>
      <c r="L214" s="8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44"/>
      <c r="C215" s="40"/>
      <c r="D215" s="40"/>
      <c r="E215" s="41"/>
      <c r="F215" s="41"/>
      <c r="G215" s="41"/>
      <c r="H215" s="41"/>
      <c r="I215" s="40"/>
      <c r="J215" s="40"/>
      <c r="K215" s="42"/>
      <c r="L215" s="8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44"/>
      <c r="C216" s="40"/>
      <c r="D216" s="40"/>
      <c r="E216" s="41"/>
      <c r="F216" s="41"/>
      <c r="G216" s="41"/>
      <c r="H216" s="41"/>
      <c r="I216" s="40"/>
      <c r="J216" s="40"/>
      <c r="K216" s="42"/>
      <c r="L216" s="8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44"/>
      <c r="C217" s="40"/>
      <c r="D217" s="40"/>
      <c r="E217" s="41"/>
      <c r="F217" s="41"/>
      <c r="G217" s="41"/>
      <c r="H217" s="41"/>
      <c r="I217" s="40"/>
      <c r="J217" s="40"/>
      <c r="K217" s="42"/>
      <c r="L217" s="8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44"/>
      <c r="C218" s="40"/>
      <c r="D218" s="40"/>
      <c r="E218" s="41"/>
      <c r="F218" s="41"/>
      <c r="G218" s="41"/>
      <c r="H218" s="41"/>
      <c r="I218" s="40"/>
      <c r="J218" s="40"/>
      <c r="K218" s="42"/>
      <c r="L218" s="8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44"/>
      <c r="C219" s="40"/>
      <c r="D219" s="40"/>
      <c r="E219" s="41"/>
      <c r="F219" s="41"/>
      <c r="G219" s="41"/>
      <c r="H219" s="41"/>
      <c r="I219" s="40"/>
      <c r="J219" s="40"/>
      <c r="K219" s="42"/>
      <c r="L219" s="8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44"/>
      <c r="C220" s="40"/>
      <c r="D220" s="40"/>
      <c r="E220" s="41"/>
      <c r="F220" s="41"/>
      <c r="G220" s="41"/>
      <c r="H220" s="41"/>
      <c r="I220" s="40"/>
      <c r="J220" s="40"/>
      <c r="K220" s="42"/>
      <c r="L220" s="8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44"/>
      <c r="C221" s="40"/>
      <c r="D221" s="40"/>
      <c r="E221" s="41"/>
      <c r="F221" s="41"/>
      <c r="G221" s="41"/>
      <c r="H221" s="41"/>
      <c r="I221" s="40"/>
      <c r="J221" s="40"/>
      <c r="K221" s="42"/>
      <c r="L221" s="8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9"/>
      <c r="B222" s="47"/>
      <c r="C222" s="40"/>
      <c r="D222" s="40"/>
      <c r="E222" s="41"/>
      <c r="F222" s="41"/>
      <c r="G222" s="41"/>
      <c r="H222" s="41"/>
      <c r="I222" s="40"/>
      <c r="J222" s="40"/>
      <c r="K222" s="42"/>
      <c r="L222" s="81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1"/>
      <c r="B223" s="44"/>
      <c r="C223" s="39"/>
      <c r="D223" s="39"/>
      <c r="E223" s="45"/>
      <c r="F223" s="45"/>
      <c r="G223" s="45"/>
      <c r="H223" s="45"/>
      <c r="I223" s="39"/>
      <c r="J223" s="39"/>
      <c r="K223" s="64"/>
      <c r="L223" s="4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44"/>
      <c r="C224" s="39"/>
      <c r="D224" s="39"/>
      <c r="E224" s="45"/>
      <c r="F224" s="45"/>
      <c r="G224" s="45"/>
      <c r="H224" s="45"/>
      <c r="I224" s="39"/>
      <c r="J224" s="39"/>
      <c r="K224" s="64"/>
      <c r="L224" s="46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44"/>
      <c r="C225" s="39"/>
      <c r="D225" s="39"/>
      <c r="E225" s="45"/>
      <c r="F225" s="45"/>
      <c r="G225" s="45"/>
      <c r="H225" s="45"/>
      <c r="I225" s="39"/>
      <c r="J225" s="39"/>
      <c r="K225" s="64"/>
      <c r="L225" s="46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44"/>
      <c r="C226" s="39"/>
      <c r="D226" s="39"/>
      <c r="E226" s="45"/>
      <c r="F226" s="45"/>
      <c r="G226" s="45"/>
      <c r="H226" s="45"/>
      <c r="I226" s="39"/>
      <c r="J226" s="39"/>
      <c r="K226" s="64"/>
      <c r="L226" s="4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44"/>
      <c r="C227" s="39"/>
      <c r="D227" s="39"/>
      <c r="E227" s="45"/>
      <c r="F227" s="45"/>
      <c r="G227" s="45"/>
      <c r="H227" s="45"/>
      <c r="I227" s="39"/>
      <c r="J227" s="39"/>
      <c r="K227" s="64"/>
      <c r="L227" s="4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44"/>
      <c r="C228" s="39"/>
      <c r="D228" s="39"/>
      <c r="E228" s="45"/>
      <c r="F228" s="45"/>
      <c r="G228" s="45"/>
      <c r="H228" s="45"/>
      <c r="I228" s="39"/>
      <c r="J228" s="39"/>
      <c r="K228" s="64"/>
      <c r="L228" s="4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44"/>
      <c r="C229" s="39"/>
      <c r="D229" s="39"/>
      <c r="E229" s="45"/>
      <c r="F229" s="45"/>
      <c r="G229" s="45"/>
      <c r="H229" s="45"/>
      <c r="I229" s="39"/>
      <c r="J229" s="39"/>
      <c r="K229" s="64"/>
      <c r="L229" s="46"/>
      <c r="M229" s="1"/>
      <c r="N229" s="4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3">
        <f>SUM(B205:B229)</f>
        <v>0</v>
      </c>
      <c r="C230" s="54"/>
      <c r="D230" s="55"/>
      <c r="E230" s="56">
        <f t="shared" ref="E230:H230" si="6">SUM(E205:E229)</f>
        <v>0</v>
      </c>
      <c r="F230" s="57">
        <f t="shared" si="6"/>
        <v>0</v>
      </c>
      <c r="G230" s="56">
        <f t="shared" si="6"/>
        <v>0</v>
      </c>
      <c r="H230" s="66">
        <f t="shared" si="6"/>
        <v>0</v>
      </c>
      <c r="I230" s="54"/>
      <c r="J230" s="58"/>
      <c r="K230" s="58"/>
      <c r="L230" s="5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68"/>
      <c r="F231" s="68"/>
      <c r="G231" s="68"/>
      <c r="H231" s="6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68"/>
      <c r="F232" s="68"/>
      <c r="G232" s="68"/>
      <c r="H232" s="6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3"/>
      <c r="D233" s="82" t="s">
        <v>1</v>
      </c>
      <c r="E233" s="83" t="s">
        <v>25</v>
      </c>
      <c r="F233" s="84"/>
      <c r="G233" s="84"/>
      <c r="H233" s="85"/>
      <c r="I233" s="86" t="s">
        <v>3</v>
      </c>
      <c r="J233" s="87" t="s">
        <v>4</v>
      </c>
      <c r="K233" s="88"/>
      <c r="L233" s="89" t="s">
        <v>5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2" t="s">
        <v>6</v>
      </c>
      <c r="C234" s="61" t="s">
        <v>7</v>
      </c>
      <c r="D234" s="14" t="s">
        <v>18</v>
      </c>
      <c r="E234" s="16">
        <v>10000.0</v>
      </c>
      <c r="F234" s="16">
        <v>18250.0</v>
      </c>
      <c r="G234" s="16">
        <v>21500.0</v>
      </c>
      <c r="H234" s="17">
        <v>62000.0</v>
      </c>
      <c r="I234" s="62">
        <v>8.0</v>
      </c>
      <c r="J234" s="19" t="s">
        <v>8</v>
      </c>
      <c r="K234" s="63" t="s">
        <v>9</v>
      </c>
      <c r="L234" s="2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2"/>
      <c r="C235" s="1"/>
      <c r="D235" s="23"/>
      <c r="E235" s="1"/>
      <c r="F235" s="1"/>
      <c r="G235" s="1"/>
      <c r="H235" s="1"/>
      <c r="I235" s="1"/>
      <c r="J235" s="1"/>
      <c r="K235" s="1"/>
      <c r="L235" s="2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5"/>
      <c r="C236" s="26"/>
      <c r="D236" s="26"/>
      <c r="E236" s="26"/>
      <c r="F236" s="26"/>
      <c r="G236" s="26"/>
      <c r="H236" s="26"/>
      <c r="I236" s="26"/>
      <c r="J236" s="26"/>
      <c r="K236" s="1"/>
      <c r="L236" s="2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B237" s="27" t="s">
        <v>10</v>
      </c>
      <c r="C237" s="27" t="s">
        <v>11</v>
      </c>
      <c r="D237" s="27" t="s">
        <v>19</v>
      </c>
      <c r="E237" s="27">
        <v>5.0</v>
      </c>
      <c r="F237" s="27">
        <v>11.0</v>
      </c>
      <c r="G237" s="27">
        <v>15.0</v>
      </c>
      <c r="H237" s="29">
        <v>45.0</v>
      </c>
      <c r="I237" s="27" t="s">
        <v>13</v>
      </c>
      <c r="J237" s="30" t="s">
        <v>14</v>
      </c>
      <c r="K237" s="31" t="s">
        <v>15</v>
      </c>
      <c r="L237" s="27" t="s">
        <v>16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38"/>
      <c r="C238" s="40"/>
      <c r="D238" s="40"/>
      <c r="E238" s="41"/>
      <c r="F238" s="41"/>
      <c r="G238" s="41"/>
      <c r="H238" s="41"/>
      <c r="I238" s="40"/>
      <c r="J238" s="40"/>
      <c r="K238" s="42"/>
      <c r="L238" s="8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44"/>
      <c r="C239" s="40"/>
      <c r="D239" s="40"/>
      <c r="E239" s="41"/>
      <c r="F239" s="41"/>
      <c r="G239" s="41"/>
      <c r="H239" s="41"/>
      <c r="I239" s="40"/>
      <c r="J239" s="40"/>
      <c r="K239" s="42"/>
      <c r="L239" s="8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44"/>
      <c r="C240" s="40"/>
      <c r="D240" s="40"/>
      <c r="E240" s="41"/>
      <c r="F240" s="41"/>
      <c r="G240" s="41"/>
      <c r="H240" s="41"/>
      <c r="I240" s="40"/>
      <c r="J240" s="40"/>
      <c r="K240" s="42"/>
      <c r="L240" s="8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44"/>
      <c r="C241" s="40"/>
      <c r="D241" s="40"/>
      <c r="E241" s="41"/>
      <c r="F241" s="41"/>
      <c r="G241" s="41"/>
      <c r="H241" s="41"/>
      <c r="I241" s="40"/>
      <c r="J241" s="40"/>
      <c r="K241" s="42"/>
      <c r="L241" s="8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44"/>
      <c r="C242" s="40"/>
      <c r="D242" s="40"/>
      <c r="E242" s="41"/>
      <c r="F242" s="41"/>
      <c r="G242" s="41"/>
      <c r="H242" s="41"/>
      <c r="I242" s="40"/>
      <c r="J242" s="40"/>
      <c r="K242" s="42"/>
      <c r="L242" s="8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47"/>
      <c r="C243" s="72"/>
      <c r="D243" s="72"/>
      <c r="E243" s="73"/>
      <c r="F243" s="73"/>
      <c r="G243" s="73"/>
      <c r="H243" s="73"/>
      <c r="I243" s="72"/>
      <c r="J243" s="72"/>
      <c r="K243" s="65"/>
      <c r="L243" s="7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47"/>
      <c r="C244" s="72"/>
      <c r="D244" s="72"/>
      <c r="E244" s="73"/>
      <c r="F244" s="73"/>
      <c r="G244" s="73"/>
      <c r="H244" s="73"/>
      <c r="I244" s="72"/>
      <c r="J244" s="72"/>
      <c r="K244" s="65"/>
      <c r="L244" s="7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47"/>
      <c r="C245" s="72"/>
      <c r="D245" s="72"/>
      <c r="E245" s="73"/>
      <c r="F245" s="73"/>
      <c r="G245" s="73"/>
      <c r="H245" s="73"/>
      <c r="I245" s="72"/>
      <c r="J245" s="72"/>
      <c r="K245" s="65"/>
      <c r="L245" s="7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47"/>
      <c r="C246" s="72"/>
      <c r="D246" s="72"/>
      <c r="E246" s="73"/>
      <c r="F246" s="73"/>
      <c r="G246" s="73"/>
      <c r="H246" s="73"/>
      <c r="I246" s="72"/>
      <c r="J246" s="72"/>
      <c r="K246" s="65"/>
      <c r="L246" s="7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47"/>
      <c r="C247" s="72"/>
      <c r="D247" s="72"/>
      <c r="E247" s="73"/>
      <c r="F247" s="73"/>
      <c r="G247" s="73"/>
      <c r="H247" s="73"/>
      <c r="I247" s="72"/>
      <c r="J247" s="72"/>
      <c r="K247" s="65"/>
      <c r="L247" s="7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47"/>
      <c r="C248" s="72"/>
      <c r="D248" s="72"/>
      <c r="E248" s="73"/>
      <c r="F248" s="73"/>
      <c r="G248" s="73"/>
      <c r="H248" s="73"/>
      <c r="I248" s="72"/>
      <c r="J248" s="72"/>
      <c r="K248" s="65"/>
      <c r="L248" s="7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47"/>
      <c r="C249" s="72"/>
      <c r="D249" s="72"/>
      <c r="E249" s="73"/>
      <c r="F249" s="73"/>
      <c r="G249" s="73"/>
      <c r="H249" s="73"/>
      <c r="I249" s="72"/>
      <c r="J249" s="72"/>
      <c r="K249" s="65"/>
      <c r="L249" s="7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47"/>
      <c r="C250" s="72"/>
      <c r="D250" s="72"/>
      <c r="E250" s="73"/>
      <c r="F250" s="73"/>
      <c r="G250" s="73"/>
      <c r="H250" s="73"/>
      <c r="I250" s="72"/>
      <c r="J250" s="72"/>
      <c r="K250" s="65"/>
      <c r="L250" s="7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47"/>
      <c r="C251" s="72"/>
      <c r="D251" s="72"/>
      <c r="E251" s="73"/>
      <c r="F251" s="73"/>
      <c r="G251" s="73"/>
      <c r="H251" s="73"/>
      <c r="I251" s="72"/>
      <c r="J251" s="72"/>
      <c r="K251" s="65"/>
      <c r="L251" s="74"/>
      <c r="M251" s="1"/>
      <c r="N251" s="4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47"/>
      <c r="C252" s="72"/>
      <c r="D252" s="72"/>
      <c r="E252" s="73"/>
      <c r="F252" s="73"/>
      <c r="G252" s="73"/>
      <c r="H252" s="73"/>
      <c r="I252" s="72"/>
      <c r="J252" s="72"/>
      <c r="K252" s="65"/>
      <c r="L252" s="7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47"/>
      <c r="C253" s="72"/>
      <c r="D253" s="72"/>
      <c r="E253" s="73"/>
      <c r="F253" s="73"/>
      <c r="G253" s="73"/>
      <c r="H253" s="73"/>
      <c r="I253" s="72"/>
      <c r="J253" s="72"/>
      <c r="K253" s="65"/>
      <c r="L253" s="7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47"/>
      <c r="C254" s="72"/>
      <c r="D254" s="72"/>
      <c r="E254" s="73"/>
      <c r="F254" s="73"/>
      <c r="G254" s="73"/>
      <c r="H254" s="73"/>
      <c r="I254" s="72"/>
      <c r="J254" s="72"/>
      <c r="K254" s="65"/>
      <c r="L254" s="7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47"/>
      <c r="C255" s="72"/>
      <c r="D255" s="72"/>
      <c r="E255" s="73"/>
      <c r="F255" s="73"/>
      <c r="G255" s="73"/>
      <c r="H255" s="73"/>
      <c r="I255" s="72"/>
      <c r="J255" s="72"/>
      <c r="K255" s="65"/>
      <c r="L255" s="7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47"/>
      <c r="C256" s="72"/>
      <c r="D256" s="72"/>
      <c r="E256" s="73"/>
      <c r="F256" s="73"/>
      <c r="G256" s="73"/>
      <c r="H256" s="73"/>
      <c r="I256" s="72"/>
      <c r="J256" s="72"/>
      <c r="K256" s="65"/>
      <c r="L256" s="7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47"/>
      <c r="C257" s="72"/>
      <c r="D257" s="72"/>
      <c r="E257" s="73"/>
      <c r="F257" s="73"/>
      <c r="G257" s="73"/>
      <c r="H257" s="73"/>
      <c r="I257" s="72"/>
      <c r="J257" s="72"/>
      <c r="K257" s="65"/>
      <c r="L257" s="74"/>
      <c r="M257" s="1"/>
      <c r="N257" s="49"/>
      <c r="O257" s="4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47"/>
      <c r="C258" s="72"/>
      <c r="D258" s="72"/>
      <c r="E258" s="73"/>
      <c r="F258" s="73"/>
      <c r="G258" s="73"/>
      <c r="H258" s="73"/>
      <c r="I258" s="72"/>
      <c r="J258" s="72"/>
      <c r="K258" s="65"/>
      <c r="L258" s="7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47"/>
      <c r="C259" s="72"/>
      <c r="D259" s="72"/>
      <c r="E259" s="73"/>
      <c r="F259" s="73"/>
      <c r="G259" s="73"/>
      <c r="H259" s="73"/>
      <c r="I259" s="72"/>
      <c r="J259" s="72"/>
      <c r="K259" s="65"/>
      <c r="L259" s="7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47"/>
      <c r="C260" s="72"/>
      <c r="D260" s="72"/>
      <c r="E260" s="73"/>
      <c r="F260" s="73"/>
      <c r="G260" s="73"/>
      <c r="H260" s="73"/>
      <c r="I260" s="72"/>
      <c r="J260" s="72"/>
      <c r="K260" s="65"/>
      <c r="L260" s="7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47"/>
      <c r="C261" s="72"/>
      <c r="D261" s="72"/>
      <c r="E261" s="73"/>
      <c r="F261" s="73"/>
      <c r="G261" s="73"/>
      <c r="H261" s="73"/>
      <c r="I261" s="72"/>
      <c r="J261" s="72"/>
      <c r="K261" s="65"/>
      <c r="L261" s="7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47"/>
      <c r="C262" s="72"/>
      <c r="D262" s="72"/>
      <c r="E262" s="73"/>
      <c r="F262" s="73"/>
      <c r="G262" s="73"/>
      <c r="H262" s="73"/>
      <c r="I262" s="72"/>
      <c r="J262" s="72"/>
      <c r="K262" s="65"/>
      <c r="L262" s="7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3">
        <f>SUM(B238:B262)</f>
        <v>0</v>
      </c>
      <c r="C263" s="54"/>
      <c r="D263" s="55"/>
      <c r="E263" s="56">
        <f t="shared" ref="E263:H263" si="7">SUM(E238:E262)</f>
        <v>0</v>
      </c>
      <c r="F263" s="57">
        <f t="shared" si="7"/>
        <v>0</v>
      </c>
      <c r="G263" s="56">
        <f t="shared" si="7"/>
        <v>0</v>
      </c>
      <c r="H263" s="66">
        <f t="shared" si="7"/>
        <v>0</v>
      </c>
      <c r="I263" s="54"/>
      <c r="J263" s="58"/>
      <c r="K263" s="58"/>
      <c r="L263" s="5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4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3"/>
      <c r="D265" s="4" t="s">
        <v>1</v>
      </c>
      <c r="E265" s="5" t="s">
        <v>26</v>
      </c>
      <c r="F265" s="6"/>
      <c r="G265" s="6"/>
      <c r="H265" s="7"/>
      <c r="I265" s="8" t="s">
        <v>3</v>
      </c>
      <c r="J265" s="59" t="s">
        <v>4</v>
      </c>
      <c r="K265" s="10"/>
      <c r="L265" s="60" t="s">
        <v>5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2" t="s">
        <v>6</v>
      </c>
      <c r="C266" s="61" t="s">
        <v>7</v>
      </c>
      <c r="D266" s="14" t="s">
        <v>18</v>
      </c>
      <c r="E266" s="16">
        <v>10000.0</v>
      </c>
      <c r="F266" s="16">
        <v>18250.0</v>
      </c>
      <c r="G266" s="16">
        <v>21500.0</v>
      </c>
      <c r="H266" s="17">
        <v>62000.0</v>
      </c>
      <c r="I266" s="62">
        <v>9.0</v>
      </c>
      <c r="J266" s="19" t="s">
        <v>8</v>
      </c>
      <c r="K266" s="63" t="s">
        <v>9</v>
      </c>
      <c r="L266" s="2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2"/>
      <c r="C267" s="1"/>
      <c r="D267" s="23"/>
      <c r="E267" s="1"/>
      <c r="F267" s="1"/>
      <c r="G267" s="1"/>
      <c r="H267" s="1"/>
      <c r="I267" s="1"/>
      <c r="J267" s="1"/>
      <c r="K267" s="1"/>
      <c r="L267" s="2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5"/>
      <c r="C268" s="26"/>
      <c r="D268" s="26"/>
      <c r="E268" s="26"/>
      <c r="F268" s="26"/>
      <c r="G268" s="26"/>
      <c r="H268" s="26"/>
      <c r="I268" s="26"/>
      <c r="J268" s="26"/>
      <c r="K268" s="1"/>
      <c r="L268" s="2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B269" s="27" t="s">
        <v>10</v>
      </c>
      <c r="C269" s="27" t="s">
        <v>11</v>
      </c>
      <c r="D269" s="27" t="s">
        <v>19</v>
      </c>
      <c r="E269" s="27">
        <v>5.0</v>
      </c>
      <c r="F269" s="27">
        <v>11.0</v>
      </c>
      <c r="G269" s="27">
        <v>15.0</v>
      </c>
      <c r="H269" s="29">
        <v>45.0</v>
      </c>
      <c r="I269" s="27" t="s">
        <v>13</v>
      </c>
      <c r="J269" s="30" t="s">
        <v>14</v>
      </c>
      <c r="K269" s="31" t="s">
        <v>15</v>
      </c>
      <c r="L269" s="27" t="s">
        <v>16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38"/>
      <c r="C270" s="40"/>
      <c r="D270" s="40"/>
      <c r="E270" s="41"/>
      <c r="F270" s="41"/>
      <c r="G270" s="41"/>
      <c r="H270" s="41"/>
      <c r="I270" s="40"/>
      <c r="J270" s="40"/>
      <c r="K270" s="42"/>
      <c r="L270" s="6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44"/>
      <c r="C271" s="40"/>
      <c r="D271" s="40"/>
      <c r="E271" s="41"/>
      <c r="F271" s="41"/>
      <c r="G271" s="41"/>
      <c r="H271" s="41"/>
      <c r="I271" s="40"/>
      <c r="J271" s="40"/>
      <c r="K271" s="42"/>
      <c r="L271" s="6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44"/>
      <c r="C272" s="40"/>
      <c r="D272" s="40"/>
      <c r="E272" s="41"/>
      <c r="F272" s="41"/>
      <c r="G272" s="41"/>
      <c r="H272" s="41"/>
      <c r="I272" s="40"/>
      <c r="J272" s="40"/>
      <c r="K272" s="42"/>
      <c r="L272" s="6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44"/>
      <c r="C273" s="39"/>
      <c r="D273" s="39"/>
      <c r="E273" s="45"/>
      <c r="F273" s="45"/>
      <c r="G273" s="45"/>
      <c r="H273" s="45"/>
      <c r="I273" s="39"/>
      <c r="J273" s="39"/>
      <c r="K273" s="64"/>
      <c r="L273" s="46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44"/>
      <c r="C274" s="39"/>
      <c r="D274" s="39"/>
      <c r="E274" s="45"/>
      <c r="F274" s="45"/>
      <c r="G274" s="45"/>
      <c r="H274" s="45"/>
      <c r="I274" s="39"/>
      <c r="J274" s="39"/>
      <c r="K274" s="64"/>
      <c r="L274" s="4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44"/>
      <c r="C275" s="39"/>
      <c r="D275" s="39"/>
      <c r="E275" s="45"/>
      <c r="F275" s="45"/>
      <c r="G275" s="45"/>
      <c r="H275" s="45"/>
      <c r="I275" s="39"/>
      <c r="J275" s="39"/>
      <c r="K275" s="64"/>
      <c r="L275" s="4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44"/>
      <c r="C276" s="39"/>
      <c r="D276" s="39"/>
      <c r="E276" s="45"/>
      <c r="F276" s="45"/>
      <c r="G276" s="45"/>
      <c r="H276" s="45"/>
      <c r="I276" s="39"/>
      <c r="J276" s="39"/>
      <c r="K276" s="64"/>
      <c r="L276" s="4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44"/>
      <c r="C277" s="39"/>
      <c r="D277" s="39"/>
      <c r="E277" s="45"/>
      <c r="F277" s="45"/>
      <c r="G277" s="45"/>
      <c r="H277" s="45"/>
      <c r="I277" s="39"/>
      <c r="J277" s="39"/>
      <c r="K277" s="64"/>
      <c r="L277" s="4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44"/>
      <c r="C278" s="39"/>
      <c r="D278" s="39"/>
      <c r="E278" s="45"/>
      <c r="F278" s="45"/>
      <c r="G278" s="45"/>
      <c r="H278" s="45"/>
      <c r="I278" s="39"/>
      <c r="J278" s="39"/>
      <c r="K278" s="64"/>
      <c r="L278" s="4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44"/>
      <c r="C279" s="39"/>
      <c r="D279" s="39"/>
      <c r="E279" s="45"/>
      <c r="F279" s="45"/>
      <c r="G279" s="45"/>
      <c r="H279" s="45"/>
      <c r="I279" s="39"/>
      <c r="J279" s="39"/>
      <c r="K279" s="64"/>
      <c r="L279" s="4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44"/>
      <c r="C280" s="39"/>
      <c r="D280" s="39"/>
      <c r="E280" s="45"/>
      <c r="F280" s="45"/>
      <c r="G280" s="45"/>
      <c r="H280" s="45"/>
      <c r="I280" s="39"/>
      <c r="J280" s="39"/>
      <c r="K280" s="64"/>
      <c r="L280" s="4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44"/>
      <c r="C281" s="39"/>
      <c r="D281" s="39"/>
      <c r="E281" s="45"/>
      <c r="F281" s="45"/>
      <c r="G281" s="45"/>
      <c r="H281" s="45"/>
      <c r="I281" s="39"/>
      <c r="J281" s="39"/>
      <c r="K281" s="64"/>
      <c r="L281" s="4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44"/>
      <c r="C282" s="39"/>
      <c r="D282" s="39"/>
      <c r="E282" s="45"/>
      <c r="F282" s="45"/>
      <c r="G282" s="45"/>
      <c r="H282" s="45"/>
      <c r="I282" s="39"/>
      <c r="J282" s="39"/>
      <c r="K282" s="64"/>
      <c r="L282" s="4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44"/>
      <c r="C283" s="39"/>
      <c r="D283" s="39"/>
      <c r="E283" s="45"/>
      <c r="F283" s="45"/>
      <c r="G283" s="45"/>
      <c r="H283" s="45"/>
      <c r="I283" s="39"/>
      <c r="J283" s="39"/>
      <c r="K283" s="64"/>
      <c r="L283" s="4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44"/>
      <c r="C284" s="39"/>
      <c r="D284" s="39"/>
      <c r="E284" s="45"/>
      <c r="F284" s="45"/>
      <c r="G284" s="45"/>
      <c r="H284" s="45"/>
      <c r="I284" s="39"/>
      <c r="J284" s="39"/>
      <c r="K284" s="64"/>
      <c r="L284" s="4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44"/>
      <c r="C285" s="39"/>
      <c r="D285" s="39"/>
      <c r="E285" s="45"/>
      <c r="F285" s="45"/>
      <c r="G285" s="45"/>
      <c r="H285" s="45"/>
      <c r="I285" s="39"/>
      <c r="J285" s="39"/>
      <c r="K285" s="64"/>
      <c r="L285" s="4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44"/>
      <c r="C286" s="39"/>
      <c r="D286" s="39"/>
      <c r="E286" s="45"/>
      <c r="F286" s="45"/>
      <c r="G286" s="45"/>
      <c r="H286" s="45"/>
      <c r="I286" s="39"/>
      <c r="J286" s="39"/>
      <c r="K286" s="64"/>
      <c r="L286" s="4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44"/>
      <c r="C287" s="39"/>
      <c r="D287" s="39"/>
      <c r="E287" s="45"/>
      <c r="F287" s="45"/>
      <c r="G287" s="45"/>
      <c r="H287" s="45"/>
      <c r="I287" s="39"/>
      <c r="J287" s="39"/>
      <c r="K287" s="64"/>
      <c r="L287" s="4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44"/>
      <c r="C288" s="39"/>
      <c r="D288" s="39"/>
      <c r="E288" s="45"/>
      <c r="F288" s="45"/>
      <c r="G288" s="45"/>
      <c r="H288" s="45"/>
      <c r="I288" s="39"/>
      <c r="J288" s="39"/>
      <c r="K288" s="64"/>
      <c r="L288" s="46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44"/>
      <c r="C289" s="39"/>
      <c r="D289" s="39"/>
      <c r="E289" s="45"/>
      <c r="F289" s="45"/>
      <c r="G289" s="45"/>
      <c r="H289" s="45"/>
      <c r="I289" s="39"/>
      <c r="J289" s="39"/>
      <c r="K289" s="64"/>
      <c r="L289" s="46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44"/>
      <c r="C290" s="39"/>
      <c r="D290" s="39"/>
      <c r="E290" s="45"/>
      <c r="F290" s="45"/>
      <c r="G290" s="45"/>
      <c r="H290" s="45"/>
      <c r="I290" s="39"/>
      <c r="J290" s="39"/>
      <c r="K290" s="64"/>
      <c r="L290" s="4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44"/>
      <c r="C291" s="39"/>
      <c r="D291" s="39"/>
      <c r="E291" s="45"/>
      <c r="F291" s="45"/>
      <c r="G291" s="45"/>
      <c r="H291" s="45"/>
      <c r="I291" s="39"/>
      <c r="J291" s="39"/>
      <c r="K291" s="64"/>
      <c r="L291" s="46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44"/>
      <c r="C292" s="39"/>
      <c r="D292" s="39"/>
      <c r="E292" s="45"/>
      <c r="F292" s="45"/>
      <c r="G292" s="45"/>
      <c r="H292" s="45"/>
      <c r="I292" s="39"/>
      <c r="J292" s="39"/>
      <c r="K292" s="64"/>
      <c r="L292" s="46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44"/>
      <c r="C293" s="39"/>
      <c r="D293" s="39"/>
      <c r="E293" s="45"/>
      <c r="F293" s="45"/>
      <c r="G293" s="45"/>
      <c r="H293" s="45"/>
      <c r="I293" s="39"/>
      <c r="J293" s="39"/>
      <c r="K293" s="64"/>
      <c r="L293" s="46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3">
        <f>SUM(B270:B293)</f>
        <v>0</v>
      </c>
      <c r="C294" s="54"/>
      <c r="D294" s="55"/>
      <c r="E294" s="56">
        <f t="shared" ref="E294:H294" si="8">SUM(E270:E293)</f>
        <v>0</v>
      </c>
      <c r="F294" s="57">
        <f t="shared" si="8"/>
        <v>0</v>
      </c>
      <c r="G294" s="56">
        <f t="shared" si="8"/>
        <v>0</v>
      </c>
      <c r="H294" s="66">
        <f t="shared" si="8"/>
        <v>0</v>
      </c>
      <c r="I294" s="54"/>
      <c r="J294" s="58"/>
      <c r="K294" s="58"/>
      <c r="L294" s="55"/>
      <c r="M294" s="1"/>
      <c r="N294" s="4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68"/>
      <c r="F295" s="68"/>
      <c r="G295" s="68"/>
      <c r="H295" s="68"/>
      <c r="I295" s="1"/>
      <c r="J295" s="1"/>
      <c r="K295" s="1"/>
      <c r="L295" s="1"/>
      <c r="M295" s="1"/>
      <c r="N295" s="4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3"/>
      <c r="D297" s="4" t="s">
        <v>1</v>
      </c>
      <c r="E297" s="5" t="s">
        <v>27</v>
      </c>
      <c r="F297" s="6"/>
      <c r="G297" s="6"/>
      <c r="H297" s="7"/>
      <c r="I297" s="8" t="s">
        <v>3</v>
      </c>
      <c r="J297" s="59" t="s">
        <v>4</v>
      </c>
      <c r="K297" s="10"/>
      <c r="L297" s="60" t="s">
        <v>5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2" t="s">
        <v>6</v>
      </c>
      <c r="C298" s="61" t="s">
        <v>7</v>
      </c>
      <c r="D298" s="14" t="s">
        <v>18</v>
      </c>
      <c r="E298" s="16">
        <v>10000.0</v>
      </c>
      <c r="F298" s="16">
        <v>18250.0</v>
      </c>
      <c r="G298" s="16">
        <v>21500.0</v>
      </c>
      <c r="H298" s="17">
        <v>62000.0</v>
      </c>
      <c r="I298" s="62">
        <v>10.0</v>
      </c>
      <c r="J298" s="19" t="s">
        <v>8</v>
      </c>
      <c r="K298" s="63" t="s">
        <v>9</v>
      </c>
      <c r="L298" s="2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2"/>
      <c r="C299" s="1"/>
      <c r="D299" s="23"/>
      <c r="E299" s="1"/>
      <c r="F299" s="1"/>
      <c r="G299" s="1"/>
      <c r="H299" s="1"/>
      <c r="I299" s="1"/>
      <c r="J299" s="1"/>
      <c r="K299" s="1"/>
      <c r="L299" s="2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5"/>
      <c r="C300" s="26"/>
      <c r="D300" s="26"/>
      <c r="E300" s="26"/>
      <c r="F300" s="26"/>
      <c r="G300" s="26"/>
      <c r="H300" s="26"/>
      <c r="I300" s="26"/>
      <c r="J300" s="26"/>
      <c r="K300" s="1"/>
      <c r="L300" s="2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B301" s="27" t="s">
        <v>10</v>
      </c>
      <c r="C301" s="27" t="s">
        <v>11</v>
      </c>
      <c r="D301" s="27" t="s">
        <v>19</v>
      </c>
      <c r="E301" s="27">
        <v>5.0</v>
      </c>
      <c r="F301" s="27">
        <v>11.0</v>
      </c>
      <c r="G301" s="27">
        <v>15.0</v>
      </c>
      <c r="H301" s="29">
        <v>45.0</v>
      </c>
      <c r="I301" s="27" t="s">
        <v>13</v>
      </c>
      <c r="J301" s="30" t="s">
        <v>14</v>
      </c>
      <c r="K301" s="31" t="s">
        <v>15</v>
      </c>
      <c r="L301" s="27" t="s">
        <v>16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38"/>
      <c r="C302" s="40"/>
      <c r="D302" s="40"/>
      <c r="E302" s="41"/>
      <c r="F302" s="41"/>
      <c r="G302" s="41"/>
      <c r="H302" s="41"/>
      <c r="I302" s="40"/>
      <c r="J302" s="40"/>
      <c r="K302" s="42"/>
      <c r="L302" s="6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44"/>
      <c r="C303" s="40"/>
      <c r="D303" s="40"/>
      <c r="E303" s="41"/>
      <c r="F303" s="41"/>
      <c r="G303" s="41"/>
      <c r="H303" s="41"/>
      <c r="I303" s="40"/>
      <c r="J303" s="40"/>
      <c r="K303" s="42"/>
      <c r="L303" s="6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44"/>
      <c r="C304" s="40"/>
      <c r="D304" s="40"/>
      <c r="E304" s="41"/>
      <c r="F304" s="41"/>
      <c r="G304" s="41"/>
      <c r="H304" s="41"/>
      <c r="I304" s="40"/>
      <c r="J304" s="40"/>
      <c r="K304" s="42"/>
      <c r="L304" s="6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44"/>
      <c r="C305" s="40"/>
      <c r="D305" s="40"/>
      <c r="E305" s="41"/>
      <c r="F305" s="41"/>
      <c r="G305" s="41"/>
      <c r="H305" s="41"/>
      <c r="I305" s="40"/>
      <c r="J305" s="40"/>
      <c r="K305" s="42"/>
      <c r="L305" s="6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44"/>
      <c r="C306" s="40"/>
      <c r="D306" s="40"/>
      <c r="E306" s="41"/>
      <c r="F306" s="41"/>
      <c r="G306" s="41"/>
      <c r="H306" s="41"/>
      <c r="I306" s="40"/>
      <c r="J306" s="40"/>
      <c r="K306" s="42"/>
      <c r="L306" s="6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44"/>
      <c r="C307" s="40"/>
      <c r="D307" s="40"/>
      <c r="E307" s="41"/>
      <c r="F307" s="41"/>
      <c r="G307" s="41"/>
      <c r="H307" s="41"/>
      <c r="I307" s="40"/>
      <c r="J307" s="40"/>
      <c r="K307" s="42"/>
      <c r="L307" s="6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44"/>
      <c r="C308" s="40"/>
      <c r="D308" s="40"/>
      <c r="E308" s="41"/>
      <c r="F308" s="41"/>
      <c r="G308" s="41"/>
      <c r="H308" s="41"/>
      <c r="I308" s="40"/>
      <c r="J308" s="40"/>
      <c r="K308" s="42"/>
      <c r="L308" s="6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44"/>
      <c r="C309" s="40"/>
      <c r="D309" s="40"/>
      <c r="E309" s="41"/>
      <c r="F309" s="41"/>
      <c r="G309" s="41"/>
      <c r="H309" s="41"/>
      <c r="I309" s="40"/>
      <c r="J309" s="40"/>
      <c r="K309" s="42"/>
      <c r="L309" s="6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44"/>
      <c r="C310" s="40"/>
      <c r="D310" s="40"/>
      <c r="E310" s="41"/>
      <c r="F310" s="41"/>
      <c r="G310" s="41"/>
      <c r="H310" s="41"/>
      <c r="I310" s="40"/>
      <c r="J310" s="40"/>
      <c r="K310" s="42"/>
      <c r="L310" s="6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44"/>
      <c r="C311" s="40"/>
      <c r="D311" s="40"/>
      <c r="E311" s="41"/>
      <c r="F311" s="41"/>
      <c r="G311" s="41"/>
      <c r="H311" s="41"/>
      <c r="I311" s="40"/>
      <c r="J311" s="40"/>
      <c r="K311" s="42"/>
      <c r="L311" s="6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44"/>
      <c r="C312" s="40"/>
      <c r="D312" s="40"/>
      <c r="E312" s="41"/>
      <c r="F312" s="41"/>
      <c r="G312" s="41"/>
      <c r="H312" s="41"/>
      <c r="I312" s="40"/>
      <c r="J312" s="40"/>
      <c r="K312" s="42"/>
      <c r="L312" s="6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44"/>
      <c r="C313" s="39"/>
      <c r="D313" s="39"/>
      <c r="E313" s="45"/>
      <c r="F313" s="45"/>
      <c r="G313" s="45"/>
      <c r="H313" s="45"/>
      <c r="I313" s="39"/>
      <c r="J313" s="39"/>
      <c r="K313" s="64"/>
      <c r="L313" s="46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44"/>
      <c r="C314" s="39"/>
      <c r="D314" s="39"/>
      <c r="E314" s="45"/>
      <c r="F314" s="45"/>
      <c r="G314" s="45"/>
      <c r="H314" s="45"/>
      <c r="I314" s="39"/>
      <c r="J314" s="39"/>
      <c r="K314" s="64"/>
      <c r="L314" s="46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44"/>
      <c r="C315" s="39"/>
      <c r="D315" s="39"/>
      <c r="E315" s="45"/>
      <c r="F315" s="45"/>
      <c r="G315" s="45"/>
      <c r="H315" s="45"/>
      <c r="I315" s="39"/>
      <c r="J315" s="39"/>
      <c r="K315" s="64"/>
      <c r="L315" s="46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44"/>
      <c r="C316" s="39"/>
      <c r="D316" s="39"/>
      <c r="E316" s="45"/>
      <c r="F316" s="45"/>
      <c r="G316" s="45"/>
      <c r="H316" s="45"/>
      <c r="I316" s="39"/>
      <c r="J316" s="39"/>
      <c r="K316" s="64"/>
      <c r="L316" s="46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44"/>
      <c r="C317" s="39"/>
      <c r="D317" s="39"/>
      <c r="E317" s="45"/>
      <c r="F317" s="45"/>
      <c r="G317" s="45"/>
      <c r="H317" s="45"/>
      <c r="I317" s="39"/>
      <c r="J317" s="39"/>
      <c r="K317" s="64"/>
      <c r="L317" s="46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44"/>
      <c r="C318" s="39"/>
      <c r="D318" s="39"/>
      <c r="E318" s="45"/>
      <c r="F318" s="45"/>
      <c r="G318" s="45"/>
      <c r="H318" s="45"/>
      <c r="I318" s="39"/>
      <c r="J318" s="39"/>
      <c r="K318" s="64"/>
      <c r="L318" s="46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44"/>
      <c r="C319" s="39"/>
      <c r="D319" s="39"/>
      <c r="E319" s="45"/>
      <c r="F319" s="45"/>
      <c r="G319" s="45"/>
      <c r="H319" s="45"/>
      <c r="I319" s="39"/>
      <c r="J319" s="39"/>
      <c r="K319" s="64"/>
      <c r="L319" s="6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44"/>
      <c r="C320" s="39"/>
      <c r="D320" s="39"/>
      <c r="E320" s="45"/>
      <c r="F320" s="45"/>
      <c r="G320" s="45"/>
      <c r="H320" s="45"/>
      <c r="I320" s="39"/>
      <c r="J320" s="39"/>
      <c r="K320" s="64"/>
      <c r="L320" s="6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44"/>
      <c r="C321" s="39"/>
      <c r="D321" s="39"/>
      <c r="E321" s="45"/>
      <c r="F321" s="45"/>
      <c r="G321" s="45"/>
      <c r="H321" s="45"/>
      <c r="I321" s="39"/>
      <c r="J321" s="39"/>
      <c r="K321" s="64"/>
      <c r="L321" s="46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44"/>
      <c r="C322" s="39"/>
      <c r="D322" s="39"/>
      <c r="E322" s="45"/>
      <c r="F322" s="45"/>
      <c r="G322" s="45"/>
      <c r="H322" s="45"/>
      <c r="I322" s="39"/>
      <c r="J322" s="39"/>
      <c r="K322" s="64"/>
      <c r="L322" s="46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44"/>
      <c r="C323" s="39"/>
      <c r="D323" s="39"/>
      <c r="E323" s="45"/>
      <c r="F323" s="45"/>
      <c r="G323" s="45"/>
      <c r="H323" s="45"/>
      <c r="I323" s="39"/>
      <c r="J323" s="39"/>
      <c r="K323" s="64"/>
      <c r="L323" s="46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44"/>
      <c r="C324" s="39"/>
      <c r="D324" s="39"/>
      <c r="E324" s="45"/>
      <c r="F324" s="45"/>
      <c r="G324" s="45"/>
      <c r="H324" s="45"/>
      <c r="I324" s="39"/>
      <c r="J324" s="39"/>
      <c r="K324" s="64"/>
      <c r="L324" s="46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44"/>
      <c r="C325" s="39"/>
      <c r="D325" s="39"/>
      <c r="E325" s="45"/>
      <c r="F325" s="45"/>
      <c r="G325" s="45"/>
      <c r="H325" s="45"/>
      <c r="I325" s="39"/>
      <c r="J325" s="39"/>
      <c r="K325" s="64"/>
      <c r="L325" s="46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44"/>
      <c r="C326" s="39"/>
      <c r="D326" s="39"/>
      <c r="E326" s="45"/>
      <c r="F326" s="45"/>
      <c r="G326" s="45"/>
      <c r="H326" s="45"/>
      <c r="I326" s="39"/>
      <c r="J326" s="39"/>
      <c r="K326" s="64"/>
      <c r="L326" s="46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3">
        <f>SUM(B302:B326)</f>
        <v>0</v>
      </c>
      <c r="C327" s="54"/>
      <c r="D327" s="55"/>
      <c r="E327" s="56">
        <f t="shared" ref="E327:H327" si="9">SUM(E302:E326)</f>
        <v>0</v>
      </c>
      <c r="F327" s="57">
        <f t="shared" si="9"/>
        <v>0</v>
      </c>
      <c r="G327" s="56">
        <f t="shared" si="9"/>
        <v>0</v>
      </c>
      <c r="H327" s="66">
        <f t="shared" si="9"/>
        <v>0</v>
      </c>
      <c r="I327" s="54"/>
      <c r="J327" s="58"/>
      <c r="K327" s="58"/>
      <c r="L327" s="5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3"/>
      <c r="D329" s="4" t="s">
        <v>1</v>
      </c>
      <c r="E329" s="5" t="s">
        <v>28</v>
      </c>
      <c r="F329" s="6"/>
      <c r="G329" s="6"/>
      <c r="H329" s="7"/>
      <c r="I329" s="8" t="s">
        <v>3</v>
      </c>
      <c r="J329" s="59" t="s">
        <v>4</v>
      </c>
      <c r="K329" s="10"/>
      <c r="L329" s="60" t="s">
        <v>5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2" t="s">
        <v>6</v>
      </c>
      <c r="C330" s="61" t="s">
        <v>7</v>
      </c>
      <c r="D330" s="14" t="s">
        <v>18</v>
      </c>
      <c r="E330" s="16">
        <v>10000.0</v>
      </c>
      <c r="F330" s="16">
        <v>18170.0</v>
      </c>
      <c r="G330" s="16">
        <v>21500.0</v>
      </c>
      <c r="H330" s="17">
        <v>62000.0</v>
      </c>
      <c r="I330" s="62">
        <v>11.0</v>
      </c>
      <c r="J330" s="19" t="s">
        <v>8</v>
      </c>
      <c r="K330" s="63" t="s">
        <v>9</v>
      </c>
      <c r="L330" s="2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2"/>
      <c r="C331" s="1"/>
      <c r="D331" s="23"/>
      <c r="E331" s="1"/>
      <c r="F331" s="1"/>
      <c r="G331" s="1"/>
      <c r="H331" s="1"/>
      <c r="I331" s="1"/>
      <c r="J331" s="1"/>
      <c r="K331" s="1"/>
      <c r="L331" s="2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5"/>
      <c r="C332" s="26"/>
      <c r="D332" s="26"/>
      <c r="E332" s="26"/>
      <c r="F332" s="26"/>
      <c r="G332" s="26"/>
      <c r="H332" s="26"/>
      <c r="I332" s="26"/>
      <c r="J332" s="26"/>
      <c r="K332" s="1"/>
      <c r="L332" s="2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B333" s="27" t="s">
        <v>10</v>
      </c>
      <c r="C333" s="27" t="s">
        <v>11</v>
      </c>
      <c r="D333" s="27" t="s">
        <v>19</v>
      </c>
      <c r="E333" s="27">
        <v>5.0</v>
      </c>
      <c r="F333" s="27">
        <v>11.0</v>
      </c>
      <c r="G333" s="27">
        <v>15.0</v>
      </c>
      <c r="H333" s="29">
        <v>45.0</v>
      </c>
      <c r="I333" s="27" t="s">
        <v>13</v>
      </c>
      <c r="J333" s="30" t="s">
        <v>14</v>
      </c>
      <c r="K333" s="31" t="s">
        <v>15</v>
      </c>
      <c r="L333" s="27" t="s">
        <v>16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38"/>
      <c r="C334" s="40"/>
      <c r="D334" s="40"/>
      <c r="E334" s="41"/>
      <c r="F334" s="41"/>
      <c r="G334" s="41"/>
      <c r="H334" s="41"/>
      <c r="I334" s="40"/>
      <c r="J334" s="40"/>
      <c r="K334" s="42"/>
      <c r="L334" s="8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44"/>
      <c r="C335" s="40"/>
      <c r="D335" s="40"/>
      <c r="E335" s="41"/>
      <c r="F335" s="41"/>
      <c r="G335" s="41"/>
      <c r="H335" s="41"/>
      <c r="I335" s="40"/>
      <c r="J335" s="40"/>
      <c r="K335" s="42"/>
      <c r="L335" s="8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44"/>
      <c r="C336" s="40"/>
      <c r="D336" s="40"/>
      <c r="E336" s="41"/>
      <c r="F336" s="41"/>
      <c r="G336" s="41"/>
      <c r="H336" s="41"/>
      <c r="I336" s="40"/>
      <c r="J336" s="40"/>
      <c r="K336" s="42"/>
      <c r="L336" s="8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44"/>
      <c r="C337" s="40"/>
      <c r="D337" s="40"/>
      <c r="E337" s="41"/>
      <c r="F337" s="41"/>
      <c r="G337" s="41"/>
      <c r="H337" s="41"/>
      <c r="I337" s="40"/>
      <c r="J337" s="40"/>
      <c r="K337" s="42"/>
      <c r="L337" s="8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44"/>
      <c r="C338" s="40"/>
      <c r="D338" s="40"/>
      <c r="E338" s="41"/>
      <c r="F338" s="41"/>
      <c r="G338" s="41"/>
      <c r="H338" s="41"/>
      <c r="I338" s="40"/>
      <c r="J338" s="40"/>
      <c r="K338" s="42"/>
      <c r="L338" s="8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44"/>
      <c r="C339" s="40"/>
      <c r="D339" s="40"/>
      <c r="E339" s="41"/>
      <c r="F339" s="41"/>
      <c r="G339" s="41"/>
      <c r="H339" s="41"/>
      <c r="I339" s="40"/>
      <c r="J339" s="40"/>
      <c r="K339" s="42"/>
      <c r="L339" s="8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44"/>
      <c r="C340" s="40"/>
      <c r="D340" s="40"/>
      <c r="E340" s="41"/>
      <c r="F340" s="41"/>
      <c r="G340" s="41"/>
      <c r="H340" s="41"/>
      <c r="I340" s="40"/>
      <c r="J340" s="40"/>
      <c r="K340" s="42"/>
      <c r="L340" s="6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44"/>
      <c r="C341" s="40"/>
      <c r="D341" s="40"/>
      <c r="E341" s="41"/>
      <c r="F341" s="41"/>
      <c r="G341" s="41"/>
      <c r="H341" s="41"/>
      <c r="I341" s="40"/>
      <c r="J341" s="40"/>
      <c r="K341" s="42"/>
      <c r="L341" s="6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44"/>
      <c r="C342" s="40"/>
      <c r="D342" s="40"/>
      <c r="E342" s="41"/>
      <c r="F342" s="41"/>
      <c r="G342" s="41"/>
      <c r="H342" s="41"/>
      <c r="I342" s="40"/>
      <c r="J342" s="40"/>
      <c r="K342" s="42"/>
      <c r="L342" s="6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44"/>
      <c r="C343" s="40"/>
      <c r="D343" s="40"/>
      <c r="E343" s="41"/>
      <c r="F343" s="41"/>
      <c r="G343" s="41"/>
      <c r="H343" s="41"/>
      <c r="I343" s="40"/>
      <c r="J343" s="40"/>
      <c r="K343" s="42"/>
      <c r="L343" s="6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44"/>
      <c r="C344" s="40"/>
      <c r="D344" s="40"/>
      <c r="E344" s="41"/>
      <c r="F344" s="41"/>
      <c r="G344" s="41"/>
      <c r="H344" s="41"/>
      <c r="I344" s="40"/>
      <c r="J344" s="40"/>
      <c r="K344" s="42"/>
      <c r="L344" s="6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44"/>
      <c r="C345" s="40"/>
      <c r="D345" s="40"/>
      <c r="E345" s="41"/>
      <c r="F345" s="41"/>
      <c r="G345" s="41"/>
      <c r="H345" s="41"/>
      <c r="I345" s="40"/>
      <c r="J345" s="40"/>
      <c r="K345" s="42"/>
      <c r="L345" s="6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9"/>
      <c r="B346" s="47"/>
      <c r="C346" s="40"/>
      <c r="D346" s="40"/>
      <c r="E346" s="41"/>
      <c r="F346" s="41"/>
      <c r="G346" s="41"/>
      <c r="H346" s="41"/>
      <c r="I346" s="40"/>
      <c r="J346" s="40"/>
      <c r="K346" s="42"/>
      <c r="L346" s="6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1"/>
      <c r="B347" s="44"/>
      <c r="C347" s="40"/>
      <c r="D347" s="40"/>
      <c r="E347" s="41"/>
      <c r="F347" s="41"/>
      <c r="G347" s="41"/>
      <c r="H347" s="41"/>
      <c r="I347" s="40"/>
      <c r="J347" s="40"/>
      <c r="K347" s="42"/>
      <c r="L347" s="6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44"/>
      <c r="C348" s="40"/>
      <c r="D348" s="40"/>
      <c r="E348" s="41"/>
      <c r="F348" s="41"/>
      <c r="G348" s="41"/>
      <c r="H348" s="41"/>
      <c r="I348" s="40"/>
      <c r="J348" s="40"/>
      <c r="K348" s="42"/>
      <c r="L348" s="6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44"/>
      <c r="C349" s="39"/>
      <c r="D349" s="39"/>
      <c r="E349" s="45"/>
      <c r="F349" s="45"/>
      <c r="G349" s="45"/>
      <c r="H349" s="45"/>
      <c r="I349" s="39"/>
      <c r="J349" s="39"/>
      <c r="K349" s="64"/>
      <c r="L349" s="46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44"/>
      <c r="C350" s="39"/>
      <c r="D350" s="39"/>
      <c r="E350" s="45"/>
      <c r="F350" s="45"/>
      <c r="G350" s="45"/>
      <c r="H350" s="45"/>
      <c r="I350" s="39"/>
      <c r="J350" s="39"/>
      <c r="K350" s="64"/>
      <c r="L350" s="46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44"/>
      <c r="C351" s="39"/>
      <c r="D351" s="39"/>
      <c r="E351" s="45"/>
      <c r="F351" s="45"/>
      <c r="G351" s="45"/>
      <c r="H351" s="45"/>
      <c r="I351" s="39"/>
      <c r="J351" s="39"/>
      <c r="K351" s="64"/>
      <c r="L351" s="46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44"/>
      <c r="C352" s="39"/>
      <c r="D352" s="39"/>
      <c r="E352" s="45"/>
      <c r="F352" s="45"/>
      <c r="G352" s="45"/>
      <c r="H352" s="45"/>
      <c r="I352" s="39"/>
      <c r="J352" s="39"/>
      <c r="K352" s="64"/>
      <c r="L352" s="46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44"/>
      <c r="C353" s="39"/>
      <c r="D353" s="39"/>
      <c r="E353" s="45"/>
      <c r="F353" s="45"/>
      <c r="G353" s="45"/>
      <c r="H353" s="45"/>
      <c r="I353" s="39"/>
      <c r="J353" s="39"/>
      <c r="K353" s="64"/>
      <c r="L353" s="46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44"/>
      <c r="C354" s="39"/>
      <c r="D354" s="39"/>
      <c r="E354" s="45"/>
      <c r="F354" s="45"/>
      <c r="G354" s="45"/>
      <c r="H354" s="45"/>
      <c r="I354" s="39"/>
      <c r="J354" s="39"/>
      <c r="K354" s="64"/>
      <c r="L354" s="46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44"/>
      <c r="C355" s="39"/>
      <c r="D355" s="39"/>
      <c r="E355" s="45"/>
      <c r="F355" s="45"/>
      <c r="G355" s="45"/>
      <c r="H355" s="45"/>
      <c r="I355" s="39"/>
      <c r="J355" s="39"/>
      <c r="K355" s="64"/>
      <c r="L355" s="46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44"/>
      <c r="C356" s="39"/>
      <c r="D356" s="39"/>
      <c r="E356" s="45"/>
      <c r="F356" s="45"/>
      <c r="G356" s="45"/>
      <c r="H356" s="45"/>
      <c r="I356" s="39"/>
      <c r="J356" s="39"/>
      <c r="K356" s="64"/>
      <c r="L356" s="46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44"/>
      <c r="C357" s="39"/>
      <c r="D357" s="39"/>
      <c r="E357" s="45"/>
      <c r="F357" s="45"/>
      <c r="G357" s="45"/>
      <c r="H357" s="45"/>
      <c r="I357" s="39"/>
      <c r="J357" s="39"/>
      <c r="K357" s="64"/>
      <c r="L357" s="46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3">
        <f>SUM(B334:B357)</f>
        <v>0</v>
      </c>
      <c r="C358" s="54"/>
      <c r="D358" s="55"/>
      <c r="E358" s="56">
        <f t="shared" ref="E358:H358" si="10">SUM(E334:E357)</f>
        <v>0</v>
      </c>
      <c r="F358" s="57">
        <f t="shared" si="10"/>
        <v>0</v>
      </c>
      <c r="G358" s="56">
        <f t="shared" si="10"/>
        <v>0</v>
      </c>
      <c r="H358" s="66">
        <f t="shared" si="10"/>
        <v>0</v>
      </c>
      <c r="I358" s="54"/>
      <c r="J358" s="58"/>
      <c r="K358" s="58"/>
      <c r="L358" s="5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3"/>
      <c r="D362" s="4" t="s">
        <v>1</v>
      </c>
      <c r="E362" s="5" t="s">
        <v>29</v>
      </c>
      <c r="F362" s="6"/>
      <c r="G362" s="6"/>
      <c r="H362" s="7"/>
      <c r="I362" s="8" t="s">
        <v>3</v>
      </c>
      <c r="J362" s="59" t="s">
        <v>4</v>
      </c>
      <c r="K362" s="10"/>
      <c r="L362" s="60" t="s">
        <v>5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2" t="s">
        <v>6</v>
      </c>
      <c r="C363" s="61" t="s">
        <v>7</v>
      </c>
      <c r="D363" s="14" t="s">
        <v>18</v>
      </c>
      <c r="E363" s="16">
        <v>10000.0</v>
      </c>
      <c r="F363" s="16">
        <v>18170.0</v>
      </c>
      <c r="G363" s="16">
        <v>21500.0</v>
      </c>
      <c r="H363" s="17">
        <v>62000.0</v>
      </c>
      <c r="I363" s="62">
        <v>12.0</v>
      </c>
      <c r="J363" s="19" t="s">
        <v>8</v>
      </c>
      <c r="K363" s="63" t="s">
        <v>9</v>
      </c>
      <c r="L363" s="2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2"/>
      <c r="C364" s="1"/>
      <c r="D364" s="23"/>
      <c r="E364" s="1"/>
      <c r="F364" s="1"/>
      <c r="G364" s="1"/>
      <c r="H364" s="1"/>
      <c r="I364" s="1"/>
      <c r="J364" s="1"/>
      <c r="K364" s="1"/>
      <c r="L364" s="2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5"/>
      <c r="C365" s="26"/>
      <c r="D365" s="26"/>
      <c r="E365" s="26"/>
      <c r="F365" s="26"/>
      <c r="G365" s="26"/>
      <c r="H365" s="26"/>
      <c r="I365" s="26"/>
      <c r="J365" s="26"/>
      <c r="K365" s="1"/>
      <c r="L365" s="2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B366" s="27" t="s">
        <v>10</v>
      </c>
      <c r="C366" s="27" t="s">
        <v>11</v>
      </c>
      <c r="D366" s="27" t="s">
        <v>19</v>
      </c>
      <c r="E366" s="27">
        <v>5.0</v>
      </c>
      <c r="F366" s="27">
        <v>11.0</v>
      </c>
      <c r="G366" s="27">
        <v>15.0</v>
      </c>
      <c r="H366" s="29">
        <v>45.0</v>
      </c>
      <c r="I366" s="27" t="s">
        <v>13</v>
      </c>
      <c r="J366" s="30" t="s">
        <v>14</v>
      </c>
      <c r="K366" s="31" t="s">
        <v>15</v>
      </c>
      <c r="L366" s="27" t="s">
        <v>16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38"/>
      <c r="C367" s="39"/>
      <c r="D367" s="40"/>
      <c r="E367" s="41"/>
      <c r="F367" s="41"/>
      <c r="G367" s="41"/>
      <c r="H367" s="41"/>
      <c r="I367" s="40"/>
      <c r="J367" s="40"/>
      <c r="K367" s="42"/>
      <c r="L367" s="6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44"/>
      <c r="C368" s="39"/>
      <c r="D368" s="40"/>
      <c r="E368" s="41"/>
      <c r="F368" s="41"/>
      <c r="G368" s="41"/>
      <c r="H368" s="41"/>
      <c r="I368" s="40"/>
      <c r="J368" s="40"/>
      <c r="K368" s="42"/>
      <c r="L368" s="6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44"/>
      <c r="C369" s="39"/>
      <c r="D369" s="40"/>
      <c r="E369" s="41"/>
      <c r="F369" s="41"/>
      <c r="G369" s="41"/>
      <c r="H369" s="41"/>
      <c r="I369" s="40"/>
      <c r="J369" s="40"/>
      <c r="K369" s="42"/>
      <c r="L369" s="6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44"/>
      <c r="C370" s="39"/>
      <c r="D370" s="40"/>
      <c r="E370" s="41"/>
      <c r="F370" s="41"/>
      <c r="G370" s="41"/>
      <c r="H370" s="41"/>
      <c r="I370" s="40"/>
      <c r="J370" s="40"/>
      <c r="K370" s="42"/>
      <c r="L370" s="6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44"/>
      <c r="C371" s="39"/>
      <c r="D371" s="40"/>
      <c r="E371" s="41"/>
      <c r="F371" s="41"/>
      <c r="G371" s="41"/>
      <c r="H371" s="41"/>
      <c r="I371" s="40"/>
      <c r="J371" s="40"/>
      <c r="K371" s="42"/>
      <c r="L371" s="6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44"/>
      <c r="C372" s="39"/>
      <c r="D372" s="40"/>
      <c r="E372" s="41"/>
      <c r="F372" s="41"/>
      <c r="G372" s="41"/>
      <c r="H372" s="41"/>
      <c r="I372" s="40"/>
      <c r="J372" s="40"/>
      <c r="K372" s="42"/>
      <c r="L372" s="6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44"/>
      <c r="C373" s="39"/>
      <c r="D373" s="39"/>
      <c r="E373" s="45"/>
      <c r="F373" s="45"/>
      <c r="G373" s="45"/>
      <c r="H373" s="45"/>
      <c r="I373" s="39"/>
      <c r="J373" s="39"/>
      <c r="K373" s="42"/>
      <c r="L373" s="6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44"/>
      <c r="C374" s="39"/>
      <c r="D374" s="39"/>
      <c r="E374" s="45"/>
      <c r="F374" s="45"/>
      <c r="G374" s="45"/>
      <c r="H374" s="45"/>
      <c r="I374" s="39"/>
      <c r="J374" s="39"/>
      <c r="K374" s="42"/>
      <c r="L374" s="6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44"/>
      <c r="C375" s="39"/>
      <c r="D375" s="39"/>
      <c r="E375" s="45"/>
      <c r="F375" s="45"/>
      <c r="G375" s="45"/>
      <c r="H375" s="45"/>
      <c r="I375" s="39"/>
      <c r="J375" s="39"/>
      <c r="K375" s="42"/>
      <c r="L375" s="6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0"/>
      <c r="C376" s="39"/>
      <c r="D376" s="39"/>
      <c r="E376" s="45"/>
      <c r="F376" s="45"/>
      <c r="G376" s="45"/>
      <c r="H376" s="45"/>
      <c r="I376" s="39"/>
      <c r="J376" s="39"/>
      <c r="K376" s="42"/>
      <c r="L376" s="6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0"/>
      <c r="C377" s="39"/>
      <c r="D377" s="39"/>
      <c r="E377" s="45"/>
      <c r="F377" s="45"/>
      <c r="G377" s="45"/>
      <c r="H377" s="45"/>
      <c r="I377" s="39"/>
      <c r="J377" s="39"/>
      <c r="K377" s="42"/>
      <c r="L377" s="6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0"/>
      <c r="C378" s="39"/>
      <c r="D378" s="39"/>
      <c r="E378" s="45"/>
      <c r="F378" s="45"/>
      <c r="G378" s="45"/>
      <c r="H378" s="45"/>
      <c r="I378" s="39"/>
      <c r="J378" s="39"/>
      <c r="K378" s="42"/>
      <c r="L378" s="6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44"/>
      <c r="C379" s="39"/>
      <c r="D379" s="39"/>
      <c r="E379" s="45"/>
      <c r="F379" s="45"/>
      <c r="G379" s="45"/>
      <c r="H379" s="45"/>
      <c r="I379" s="39"/>
      <c r="J379" s="39"/>
      <c r="K379" s="64"/>
      <c r="L379" s="46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44"/>
      <c r="C380" s="39"/>
      <c r="D380" s="39"/>
      <c r="E380" s="45"/>
      <c r="F380" s="45"/>
      <c r="G380" s="45"/>
      <c r="H380" s="45"/>
      <c r="I380" s="39"/>
      <c r="J380" s="39"/>
      <c r="K380" s="64"/>
      <c r="L380" s="4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44"/>
      <c r="C381" s="39"/>
      <c r="D381" s="39"/>
      <c r="E381" s="45"/>
      <c r="F381" s="45"/>
      <c r="G381" s="45"/>
      <c r="H381" s="45"/>
      <c r="I381" s="39"/>
      <c r="J381" s="39"/>
      <c r="K381" s="42"/>
      <c r="L381" s="6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44"/>
      <c r="C382" s="39"/>
      <c r="D382" s="39"/>
      <c r="E382" s="45"/>
      <c r="F382" s="45"/>
      <c r="G382" s="45"/>
      <c r="H382" s="45"/>
      <c r="I382" s="39"/>
      <c r="J382" s="39"/>
      <c r="K382" s="42"/>
      <c r="L382" s="6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44"/>
      <c r="C383" s="39"/>
      <c r="D383" s="39"/>
      <c r="E383" s="45"/>
      <c r="F383" s="45"/>
      <c r="G383" s="45"/>
      <c r="H383" s="45"/>
      <c r="I383" s="39"/>
      <c r="J383" s="39"/>
      <c r="K383" s="42"/>
      <c r="L383" s="6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44"/>
      <c r="C384" s="39"/>
      <c r="D384" s="39"/>
      <c r="E384" s="45"/>
      <c r="F384" s="45"/>
      <c r="G384" s="45"/>
      <c r="H384" s="45"/>
      <c r="I384" s="39"/>
      <c r="J384" s="39"/>
      <c r="K384" s="42"/>
      <c r="L384" s="6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44"/>
      <c r="C385" s="39"/>
      <c r="D385" s="39"/>
      <c r="E385" s="45"/>
      <c r="F385" s="45"/>
      <c r="G385" s="45"/>
      <c r="H385" s="45"/>
      <c r="I385" s="39"/>
      <c r="J385" s="39"/>
      <c r="K385" s="42"/>
      <c r="L385" s="6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44"/>
      <c r="C386" s="39"/>
      <c r="D386" s="39"/>
      <c r="E386" s="45"/>
      <c r="F386" s="45"/>
      <c r="G386" s="45"/>
      <c r="H386" s="45"/>
      <c r="I386" s="39"/>
      <c r="J386" s="39"/>
      <c r="K386" s="42"/>
      <c r="L386" s="6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44"/>
      <c r="C387" s="39"/>
      <c r="D387" s="39"/>
      <c r="E387" s="45"/>
      <c r="F387" s="45"/>
      <c r="G387" s="45"/>
      <c r="H387" s="45"/>
      <c r="I387" s="39"/>
      <c r="J387" s="39"/>
      <c r="K387" s="42"/>
      <c r="L387" s="6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44"/>
      <c r="C388" s="39"/>
      <c r="D388" s="39"/>
      <c r="E388" s="45"/>
      <c r="F388" s="45"/>
      <c r="G388" s="45"/>
      <c r="H388" s="45"/>
      <c r="I388" s="39"/>
      <c r="J388" s="39"/>
      <c r="K388" s="42"/>
      <c r="L388" s="6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44"/>
      <c r="C389" s="39"/>
      <c r="D389" s="39"/>
      <c r="E389" s="45"/>
      <c r="F389" s="45"/>
      <c r="G389" s="45"/>
      <c r="H389" s="45"/>
      <c r="I389" s="39"/>
      <c r="J389" s="39"/>
      <c r="K389" s="42"/>
      <c r="L389" s="6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44"/>
      <c r="C390" s="39"/>
      <c r="D390" s="39"/>
      <c r="E390" s="45"/>
      <c r="F390" s="45"/>
      <c r="G390" s="45"/>
      <c r="H390" s="45"/>
      <c r="I390" s="39"/>
      <c r="J390" s="39"/>
      <c r="K390" s="42"/>
      <c r="L390" s="6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44"/>
      <c r="C391" s="39"/>
      <c r="D391" s="39"/>
      <c r="E391" s="45"/>
      <c r="F391" s="45"/>
      <c r="G391" s="45"/>
      <c r="H391" s="45"/>
      <c r="I391" s="39"/>
      <c r="J391" s="39"/>
      <c r="K391" s="64"/>
      <c r="L391" s="46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3">
        <f>SUM(B367:B391)</f>
        <v>0</v>
      </c>
      <c r="C392" s="54"/>
      <c r="D392" s="55"/>
      <c r="E392" s="56">
        <f t="shared" ref="E392:H392" si="11">SUM(E367:E391)</f>
        <v>0</v>
      </c>
      <c r="F392" s="57">
        <f t="shared" si="11"/>
        <v>0</v>
      </c>
      <c r="G392" s="56">
        <f t="shared" si="11"/>
        <v>0</v>
      </c>
      <c r="H392" s="66">
        <f t="shared" si="11"/>
        <v>0</v>
      </c>
      <c r="I392" s="54"/>
      <c r="J392" s="58"/>
      <c r="K392" s="58"/>
      <c r="L392" s="5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2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3"/>
      <c r="D394" s="4" t="s">
        <v>1</v>
      </c>
      <c r="E394" s="5" t="s">
        <v>30</v>
      </c>
      <c r="F394" s="6"/>
      <c r="G394" s="6"/>
      <c r="H394" s="7"/>
      <c r="I394" s="8" t="s">
        <v>3</v>
      </c>
      <c r="J394" s="59" t="s">
        <v>4</v>
      </c>
      <c r="K394" s="10"/>
      <c r="L394" s="60" t="s">
        <v>5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2" t="s">
        <v>6</v>
      </c>
      <c r="C395" s="61" t="s">
        <v>7</v>
      </c>
      <c r="D395" s="14" t="s">
        <v>18</v>
      </c>
      <c r="E395" s="16">
        <v>10000.0</v>
      </c>
      <c r="F395" s="16">
        <v>18170.0</v>
      </c>
      <c r="G395" s="16">
        <v>21500.0</v>
      </c>
      <c r="H395" s="17">
        <v>62000.0</v>
      </c>
      <c r="I395" s="62">
        <v>13.0</v>
      </c>
      <c r="J395" s="19" t="s">
        <v>8</v>
      </c>
      <c r="K395" s="63" t="s">
        <v>9</v>
      </c>
      <c r="L395" s="2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2"/>
      <c r="C396" s="1"/>
      <c r="D396" s="23"/>
      <c r="E396" s="1"/>
      <c r="F396" s="1"/>
      <c r="G396" s="1"/>
      <c r="H396" s="1"/>
      <c r="I396" s="1"/>
      <c r="J396" s="1"/>
      <c r="K396" s="1"/>
      <c r="L396" s="2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5"/>
      <c r="C397" s="26"/>
      <c r="D397" s="26"/>
      <c r="E397" s="26"/>
      <c r="F397" s="26"/>
      <c r="G397" s="26"/>
      <c r="H397" s="26"/>
      <c r="I397" s="26"/>
      <c r="J397" s="26"/>
      <c r="K397" s="1"/>
      <c r="L397" s="2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7" t="s">
        <v>10</v>
      </c>
      <c r="C398" s="27" t="s">
        <v>11</v>
      </c>
      <c r="D398" s="27" t="s">
        <v>19</v>
      </c>
      <c r="E398" s="27">
        <v>5.0</v>
      </c>
      <c r="F398" s="27">
        <v>11.0</v>
      </c>
      <c r="G398" s="27">
        <v>15.0</v>
      </c>
      <c r="H398" s="29">
        <v>45.0</v>
      </c>
      <c r="I398" s="27" t="s">
        <v>13</v>
      </c>
      <c r="J398" s="30" t="s">
        <v>14</v>
      </c>
      <c r="K398" s="31" t="s">
        <v>15</v>
      </c>
      <c r="L398" s="27" t="s">
        <v>16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1"/>
      <c r="C399" s="92"/>
      <c r="D399" s="92"/>
      <c r="E399" s="93"/>
      <c r="F399" s="93"/>
      <c r="G399" s="93"/>
      <c r="H399" s="93"/>
      <c r="I399" s="92"/>
      <c r="J399" s="92"/>
      <c r="K399" s="94"/>
      <c r="L399" s="9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1"/>
      <c r="C400" s="92"/>
      <c r="D400" s="92"/>
      <c r="E400" s="93"/>
      <c r="F400" s="93"/>
      <c r="G400" s="93"/>
      <c r="H400" s="93"/>
      <c r="I400" s="92"/>
      <c r="J400" s="92"/>
      <c r="K400" s="94"/>
      <c r="L400" s="9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1"/>
      <c r="C401" s="92"/>
      <c r="D401" s="92"/>
      <c r="E401" s="93"/>
      <c r="F401" s="93"/>
      <c r="G401" s="93"/>
      <c r="H401" s="93"/>
      <c r="I401" s="92"/>
      <c r="J401" s="92"/>
      <c r="K401" s="94"/>
      <c r="L401" s="9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1"/>
      <c r="C402" s="92"/>
      <c r="D402" s="92"/>
      <c r="E402" s="93"/>
      <c r="F402" s="93"/>
      <c r="G402" s="93"/>
      <c r="H402" s="93"/>
      <c r="I402" s="92"/>
      <c r="J402" s="92"/>
      <c r="K402" s="94"/>
      <c r="L402" s="9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44"/>
      <c r="C403" s="39"/>
      <c r="D403" s="39"/>
      <c r="E403" s="45"/>
      <c r="F403" s="45"/>
      <c r="G403" s="45"/>
      <c r="H403" s="45"/>
      <c r="I403" s="39"/>
      <c r="J403" s="39"/>
      <c r="K403" s="96"/>
      <c r="L403" s="46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44"/>
      <c r="C404" s="39"/>
      <c r="D404" s="39"/>
      <c r="E404" s="45"/>
      <c r="F404" s="45"/>
      <c r="G404" s="45"/>
      <c r="H404" s="45"/>
      <c r="I404" s="39"/>
      <c r="J404" s="39"/>
      <c r="K404" s="96"/>
      <c r="L404" s="46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44"/>
      <c r="C405" s="39"/>
      <c r="D405" s="39"/>
      <c r="E405" s="45"/>
      <c r="F405" s="45"/>
      <c r="G405" s="45"/>
      <c r="H405" s="45"/>
      <c r="I405" s="39"/>
      <c r="J405" s="39"/>
      <c r="K405" s="96"/>
      <c r="L405" s="46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44"/>
      <c r="C406" s="39"/>
      <c r="D406" s="39"/>
      <c r="E406" s="45"/>
      <c r="F406" s="45"/>
      <c r="G406" s="45"/>
      <c r="H406" s="45"/>
      <c r="I406" s="39"/>
      <c r="J406" s="39"/>
      <c r="K406" s="96"/>
      <c r="L406" s="46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44"/>
      <c r="C407" s="39"/>
      <c r="D407" s="39"/>
      <c r="E407" s="45"/>
      <c r="F407" s="45"/>
      <c r="G407" s="45"/>
      <c r="H407" s="45"/>
      <c r="I407" s="39"/>
      <c r="J407" s="39"/>
      <c r="K407" s="96"/>
      <c r="L407" s="46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44"/>
      <c r="C408" s="39"/>
      <c r="D408" s="39"/>
      <c r="E408" s="45"/>
      <c r="F408" s="45"/>
      <c r="G408" s="45"/>
      <c r="H408" s="45"/>
      <c r="I408" s="39"/>
      <c r="J408" s="39"/>
      <c r="K408" s="96"/>
      <c r="L408" s="46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44"/>
      <c r="C409" s="39"/>
      <c r="D409" s="39"/>
      <c r="E409" s="45"/>
      <c r="F409" s="45"/>
      <c r="G409" s="45"/>
      <c r="H409" s="45"/>
      <c r="I409" s="39"/>
      <c r="J409" s="39"/>
      <c r="K409" s="96"/>
      <c r="L409" s="46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44"/>
      <c r="C410" s="39"/>
      <c r="D410" s="39"/>
      <c r="E410" s="45"/>
      <c r="F410" s="45"/>
      <c r="G410" s="45"/>
      <c r="H410" s="45"/>
      <c r="I410" s="39"/>
      <c r="J410" s="39"/>
      <c r="K410" s="96"/>
      <c r="L410" s="46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44"/>
      <c r="C411" s="39"/>
      <c r="D411" s="39"/>
      <c r="E411" s="45"/>
      <c r="F411" s="45"/>
      <c r="G411" s="45"/>
      <c r="H411" s="45"/>
      <c r="I411" s="39"/>
      <c r="J411" s="39"/>
      <c r="K411" s="96"/>
      <c r="L411" s="46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44"/>
      <c r="C412" s="39"/>
      <c r="D412" s="39"/>
      <c r="E412" s="45"/>
      <c r="F412" s="45"/>
      <c r="G412" s="45"/>
      <c r="H412" s="45"/>
      <c r="I412" s="39"/>
      <c r="J412" s="39"/>
      <c r="K412" s="96"/>
      <c r="L412" s="46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44"/>
      <c r="C413" s="39"/>
      <c r="D413" s="39"/>
      <c r="E413" s="45"/>
      <c r="F413" s="45"/>
      <c r="G413" s="45"/>
      <c r="H413" s="45"/>
      <c r="I413" s="39"/>
      <c r="J413" s="39"/>
      <c r="K413" s="96"/>
      <c r="L413" s="46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44"/>
      <c r="C414" s="39"/>
      <c r="D414" s="39"/>
      <c r="E414" s="45"/>
      <c r="F414" s="45"/>
      <c r="G414" s="45"/>
      <c r="H414" s="45"/>
      <c r="I414" s="39"/>
      <c r="J414" s="39"/>
      <c r="K414" s="96"/>
      <c r="L414" s="46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44"/>
      <c r="C415" s="39"/>
      <c r="D415" s="39"/>
      <c r="E415" s="45"/>
      <c r="F415" s="45"/>
      <c r="G415" s="45"/>
      <c r="H415" s="45"/>
      <c r="I415" s="39"/>
      <c r="J415" s="39"/>
      <c r="K415" s="96"/>
      <c r="L415" s="46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44"/>
      <c r="C416" s="39"/>
      <c r="D416" s="39"/>
      <c r="E416" s="45"/>
      <c r="F416" s="45"/>
      <c r="G416" s="45"/>
      <c r="H416" s="45"/>
      <c r="I416" s="39"/>
      <c r="J416" s="39"/>
      <c r="K416" s="96"/>
      <c r="L416" s="46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44"/>
      <c r="C417" s="39"/>
      <c r="D417" s="39"/>
      <c r="E417" s="45"/>
      <c r="F417" s="45"/>
      <c r="G417" s="45"/>
      <c r="H417" s="45"/>
      <c r="I417" s="39"/>
      <c r="J417" s="39"/>
      <c r="K417" s="96"/>
      <c r="L417" s="46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44"/>
      <c r="C418" s="39"/>
      <c r="D418" s="39"/>
      <c r="E418" s="45"/>
      <c r="F418" s="45"/>
      <c r="G418" s="45"/>
      <c r="H418" s="45"/>
      <c r="I418" s="39"/>
      <c r="J418" s="39"/>
      <c r="K418" s="96"/>
      <c r="L418" s="46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44"/>
      <c r="C419" s="39"/>
      <c r="D419" s="39"/>
      <c r="E419" s="45"/>
      <c r="F419" s="45"/>
      <c r="G419" s="45"/>
      <c r="H419" s="45"/>
      <c r="I419" s="39"/>
      <c r="J419" s="39"/>
      <c r="K419" s="96"/>
      <c r="L419" s="46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44"/>
      <c r="C420" s="39"/>
      <c r="D420" s="39"/>
      <c r="E420" s="45"/>
      <c r="F420" s="45"/>
      <c r="G420" s="45"/>
      <c r="H420" s="45"/>
      <c r="I420" s="39"/>
      <c r="J420" s="39"/>
      <c r="K420" s="96"/>
      <c r="L420" s="46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44"/>
      <c r="C421" s="39"/>
      <c r="D421" s="39"/>
      <c r="E421" s="45"/>
      <c r="F421" s="45"/>
      <c r="G421" s="45"/>
      <c r="H421" s="45"/>
      <c r="I421" s="39"/>
      <c r="J421" s="39"/>
      <c r="K421" s="96"/>
      <c r="L421" s="46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44"/>
      <c r="C422" s="39"/>
      <c r="D422" s="39"/>
      <c r="E422" s="45"/>
      <c r="F422" s="45"/>
      <c r="G422" s="45"/>
      <c r="H422" s="45"/>
      <c r="I422" s="39"/>
      <c r="J422" s="39"/>
      <c r="K422" s="96"/>
      <c r="L422" s="46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44"/>
      <c r="C423" s="39"/>
      <c r="D423" s="39"/>
      <c r="E423" s="45"/>
      <c r="F423" s="45"/>
      <c r="G423" s="45"/>
      <c r="H423" s="45"/>
      <c r="I423" s="39"/>
      <c r="J423" s="39"/>
      <c r="K423" s="96"/>
      <c r="L423" s="46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44"/>
      <c r="C424" s="39"/>
      <c r="D424" s="39"/>
      <c r="E424" s="45"/>
      <c r="F424" s="45"/>
      <c r="G424" s="45"/>
      <c r="H424" s="45"/>
      <c r="I424" s="39"/>
      <c r="J424" s="39"/>
      <c r="K424" s="96"/>
      <c r="L424" s="46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3">
        <f>SUM(B399:B424)</f>
        <v>0</v>
      </c>
      <c r="C425" s="54"/>
      <c r="D425" s="55"/>
      <c r="E425" s="56">
        <f t="shared" ref="E425:H425" si="12">SUM(E399:E424)</f>
        <v>0</v>
      </c>
      <c r="F425" s="57">
        <f t="shared" si="12"/>
        <v>0</v>
      </c>
      <c r="G425" s="56">
        <f t="shared" si="12"/>
        <v>0</v>
      </c>
      <c r="H425" s="66">
        <f t="shared" si="12"/>
        <v>0</v>
      </c>
      <c r="I425" s="54"/>
      <c r="J425" s="58"/>
      <c r="K425" s="58"/>
      <c r="L425" s="5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68"/>
      <c r="F426" s="68"/>
      <c r="G426" s="68"/>
      <c r="H426" s="6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3"/>
      <c r="D428" s="4" t="s">
        <v>1</v>
      </c>
      <c r="E428" s="5" t="s">
        <v>31</v>
      </c>
      <c r="F428" s="6"/>
      <c r="G428" s="6"/>
      <c r="H428" s="7"/>
      <c r="I428" s="8" t="s">
        <v>3</v>
      </c>
      <c r="J428" s="59" t="s">
        <v>4</v>
      </c>
      <c r="K428" s="10"/>
      <c r="L428" s="60" t="s">
        <v>5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2" t="s">
        <v>6</v>
      </c>
      <c r="C429" s="61" t="s">
        <v>7</v>
      </c>
      <c r="D429" s="14" t="s">
        <v>18</v>
      </c>
      <c r="E429" s="16">
        <v>10000.0</v>
      </c>
      <c r="F429" s="16">
        <v>18170.0</v>
      </c>
      <c r="G429" s="16">
        <v>21500.0</v>
      </c>
      <c r="H429" s="17">
        <v>62000.0</v>
      </c>
      <c r="I429" s="62">
        <v>1.0</v>
      </c>
      <c r="J429" s="19" t="s">
        <v>8</v>
      </c>
      <c r="K429" s="63" t="s">
        <v>32</v>
      </c>
      <c r="L429" s="2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2"/>
      <c r="C430" s="1"/>
      <c r="D430" s="23"/>
      <c r="E430" s="1"/>
      <c r="F430" s="1"/>
      <c r="G430" s="1"/>
      <c r="H430" s="1"/>
      <c r="I430" s="1"/>
      <c r="J430" s="1"/>
      <c r="K430" s="1"/>
      <c r="L430" s="2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5"/>
      <c r="C431" s="26"/>
      <c r="D431" s="26"/>
      <c r="E431" s="26"/>
      <c r="F431" s="26"/>
      <c r="G431" s="26"/>
      <c r="H431" s="26"/>
      <c r="I431" s="26"/>
      <c r="J431" s="26"/>
      <c r="K431" s="1"/>
      <c r="L431" s="2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7" t="s">
        <v>10</v>
      </c>
      <c r="C432" s="27" t="s">
        <v>11</v>
      </c>
      <c r="D432" s="27" t="s">
        <v>19</v>
      </c>
      <c r="E432" s="27">
        <v>5.0</v>
      </c>
      <c r="F432" s="27">
        <v>11.0</v>
      </c>
      <c r="G432" s="27">
        <v>15.0</v>
      </c>
      <c r="H432" s="29">
        <v>45.0</v>
      </c>
      <c r="I432" s="27" t="s">
        <v>13</v>
      </c>
      <c r="J432" s="30" t="s">
        <v>14</v>
      </c>
      <c r="K432" s="31" t="s">
        <v>15</v>
      </c>
      <c r="L432" s="27" t="s">
        <v>16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38"/>
      <c r="C433" s="40"/>
      <c r="D433" s="40"/>
      <c r="E433" s="41"/>
      <c r="F433" s="41"/>
      <c r="G433" s="41"/>
      <c r="H433" s="41"/>
      <c r="I433" s="40"/>
      <c r="J433" s="40"/>
      <c r="K433" s="42"/>
      <c r="L433" s="8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44"/>
      <c r="C434" s="40"/>
      <c r="D434" s="40"/>
      <c r="E434" s="41"/>
      <c r="F434" s="41"/>
      <c r="G434" s="41"/>
      <c r="H434" s="41"/>
      <c r="I434" s="40"/>
      <c r="J434" s="40"/>
      <c r="K434" s="42"/>
      <c r="L434" s="8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44"/>
      <c r="C435" s="39"/>
      <c r="D435" s="39"/>
      <c r="E435" s="45"/>
      <c r="F435" s="45"/>
      <c r="G435" s="45"/>
      <c r="H435" s="45"/>
      <c r="I435" s="39"/>
      <c r="J435" s="39"/>
      <c r="K435" s="42"/>
      <c r="L435" s="8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7"/>
      <c r="C436" s="39"/>
      <c r="D436" s="39"/>
      <c r="E436" s="45"/>
      <c r="F436" s="45"/>
      <c r="G436" s="45"/>
      <c r="H436" s="45"/>
      <c r="I436" s="39"/>
      <c r="J436" s="39"/>
      <c r="K436" s="42"/>
      <c r="L436" s="8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44"/>
      <c r="C437" s="39"/>
      <c r="D437" s="39"/>
      <c r="E437" s="45"/>
      <c r="F437" s="45"/>
      <c r="G437" s="45"/>
      <c r="H437" s="45"/>
      <c r="I437" s="39"/>
      <c r="J437" s="39"/>
      <c r="K437" s="42"/>
      <c r="L437" s="8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44"/>
      <c r="C438" s="39"/>
      <c r="D438" s="39"/>
      <c r="E438" s="45"/>
      <c r="F438" s="45"/>
      <c r="G438" s="45"/>
      <c r="H438" s="45"/>
      <c r="I438" s="39"/>
      <c r="J438" s="39"/>
      <c r="K438" s="42"/>
      <c r="L438" s="8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44"/>
      <c r="C439" s="39"/>
      <c r="D439" s="39"/>
      <c r="E439" s="45"/>
      <c r="F439" s="45"/>
      <c r="G439" s="45"/>
      <c r="H439" s="45"/>
      <c r="I439" s="39"/>
      <c r="J439" s="39"/>
      <c r="K439" s="42"/>
      <c r="L439" s="8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44"/>
      <c r="C440" s="39"/>
      <c r="D440" s="39"/>
      <c r="E440" s="45"/>
      <c r="F440" s="45"/>
      <c r="G440" s="45"/>
      <c r="H440" s="45"/>
      <c r="I440" s="39"/>
      <c r="J440" s="39"/>
      <c r="K440" s="42"/>
      <c r="L440" s="8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44"/>
      <c r="C441" s="39"/>
      <c r="D441" s="39"/>
      <c r="E441" s="45"/>
      <c r="F441" s="45"/>
      <c r="G441" s="45"/>
      <c r="H441" s="45"/>
      <c r="I441" s="39"/>
      <c r="J441" s="39"/>
      <c r="K441" s="42"/>
      <c r="L441" s="8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44"/>
      <c r="C442" s="39"/>
      <c r="D442" s="39"/>
      <c r="E442" s="45"/>
      <c r="F442" s="45"/>
      <c r="G442" s="45"/>
      <c r="H442" s="45"/>
      <c r="I442" s="39"/>
      <c r="J442" s="39"/>
      <c r="K442" s="42"/>
      <c r="L442" s="8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44"/>
      <c r="C443" s="39"/>
      <c r="D443" s="39"/>
      <c r="E443" s="45"/>
      <c r="F443" s="45"/>
      <c r="G443" s="45"/>
      <c r="H443" s="45"/>
      <c r="I443" s="39"/>
      <c r="J443" s="39"/>
      <c r="K443" s="42"/>
      <c r="L443" s="8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44"/>
      <c r="C444" s="39"/>
      <c r="D444" s="39"/>
      <c r="E444" s="45"/>
      <c r="F444" s="45"/>
      <c r="G444" s="45"/>
      <c r="H444" s="45"/>
      <c r="I444" s="39"/>
      <c r="J444" s="39"/>
      <c r="K444" s="42"/>
      <c r="L444" s="8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44"/>
      <c r="C445" s="39"/>
      <c r="D445" s="39"/>
      <c r="E445" s="45"/>
      <c r="F445" s="45"/>
      <c r="G445" s="45"/>
      <c r="H445" s="45"/>
      <c r="I445" s="39"/>
      <c r="J445" s="39"/>
      <c r="K445" s="42"/>
      <c r="L445" s="8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44"/>
      <c r="C446" s="39"/>
      <c r="D446" s="39"/>
      <c r="E446" s="45"/>
      <c r="F446" s="45"/>
      <c r="G446" s="45"/>
      <c r="H446" s="45"/>
      <c r="I446" s="39"/>
      <c r="J446" s="39"/>
      <c r="K446" s="42"/>
      <c r="L446" s="8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44"/>
      <c r="C447" s="39"/>
      <c r="D447" s="39"/>
      <c r="E447" s="45"/>
      <c r="F447" s="45"/>
      <c r="G447" s="45"/>
      <c r="H447" s="45"/>
      <c r="I447" s="39"/>
      <c r="J447" s="39"/>
      <c r="K447" s="42"/>
      <c r="L447" s="8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44"/>
      <c r="C448" s="39"/>
      <c r="D448" s="39"/>
      <c r="E448" s="45"/>
      <c r="F448" s="45"/>
      <c r="G448" s="45"/>
      <c r="H448" s="45"/>
      <c r="I448" s="39"/>
      <c r="J448" s="39"/>
      <c r="K448" s="42"/>
      <c r="L448" s="8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44"/>
      <c r="C449" s="39"/>
      <c r="D449" s="39"/>
      <c r="E449" s="45"/>
      <c r="F449" s="45"/>
      <c r="G449" s="45"/>
      <c r="H449" s="45"/>
      <c r="I449" s="39"/>
      <c r="J449" s="39"/>
      <c r="K449" s="42"/>
      <c r="L449" s="46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44"/>
      <c r="C450" s="39"/>
      <c r="D450" s="39"/>
      <c r="E450" s="45"/>
      <c r="F450" s="45"/>
      <c r="G450" s="45"/>
      <c r="H450" s="45"/>
      <c r="I450" s="39"/>
      <c r="J450" s="39"/>
      <c r="K450" s="42"/>
      <c r="L450" s="46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44"/>
      <c r="C451" s="39"/>
      <c r="D451" s="39"/>
      <c r="E451" s="45"/>
      <c r="F451" s="45"/>
      <c r="G451" s="45"/>
      <c r="H451" s="45"/>
      <c r="I451" s="39"/>
      <c r="J451" s="39"/>
      <c r="K451" s="42"/>
      <c r="L451" s="4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44"/>
      <c r="C452" s="39"/>
      <c r="D452" s="39"/>
      <c r="E452" s="45"/>
      <c r="F452" s="45"/>
      <c r="G452" s="45"/>
      <c r="H452" s="45"/>
      <c r="I452" s="39"/>
      <c r="J452" s="39"/>
      <c r="K452" s="42"/>
      <c r="L452" s="46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44"/>
      <c r="C453" s="39"/>
      <c r="D453" s="39"/>
      <c r="E453" s="45"/>
      <c r="F453" s="45"/>
      <c r="G453" s="45"/>
      <c r="H453" s="45"/>
      <c r="I453" s="39"/>
      <c r="J453" s="39"/>
      <c r="K453" s="42"/>
      <c r="L453" s="46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44"/>
      <c r="C454" s="39"/>
      <c r="D454" s="39"/>
      <c r="E454" s="45"/>
      <c r="F454" s="45"/>
      <c r="G454" s="45"/>
      <c r="H454" s="45"/>
      <c r="I454" s="39"/>
      <c r="J454" s="39"/>
      <c r="K454" s="42"/>
      <c r="L454" s="46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44"/>
      <c r="C455" s="39"/>
      <c r="D455" s="39"/>
      <c r="E455" s="45"/>
      <c r="F455" s="45"/>
      <c r="G455" s="45"/>
      <c r="H455" s="45"/>
      <c r="I455" s="39"/>
      <c r="J455" s="39"/>
      <c r="K455" s="42"/>
      <c r="L455" s="46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44"/>
      <c r="C456" s="39"/>
      <c r="D456" s="39"/>
      <c r="E456" s="45"/>
      <c r="F456" s="45"/>
      <c r="G456" s="45"/>
      <c r="H456" s="45"/>
      <c r="I456" s="39"/>
      <c r="J456" s="39"/>
      <c r="K456" s="42"/>
      <c r="L456" s="46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44"/>
      <c r="C457" s="39"/>
      <c r="D457" s="39"/>
      <c r="E457" s="45"/>
      <c r="F457" s="45"/>
      <c r="G457" s="45"/>
      <c r="H457" s="45"/>
      <c r="I457" s="39"/>
      <c r="J457" s="39"/>
      <c r="K457" s="42"/>
      <c r="L457" s="46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44"/>
      <c r="C458" s="39"/>
      <c r="D458" s="39"/>
      <c r="E458" s="45"/>
      <c r="F458" s="45"/>
      <c r="G458" s="45"/>
      <c r="H458" s="45"/>
      <c r="I458" s="39"/>
      <c r="J458" s="39"/>
      <c r="K458" s="42"/>
      <c r="L458" s="46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0"/>
      <c r="C459" s="39"/>
      <c r="D459" s="39"/>
      <c r="E459" s="45"/>
      <c r="F459" s="45"/>
      <c r="G459" s="45"/>
      <c r="H459" s="45"/>
      <c r="I459" s="39"/>
      <c r="J459" s="39"/>
      <c r="K459" s="42"/>
      <c r="L459" s="46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44"/>
      <c r="C460" s="39"/>
      <c r="D460" s="39"/>
      <c r="E460" s="45"/>
      <c r="F460" s="45"/>
      <c r="G460" s="45"/>
      <c r="H460" s="45"/>
      <c r="I460" s="39"/>
      <c r="J460" s="39"/>
      <c r="K460" s="42"/>
      <c r="L460" s="46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3">
        <f>SUM(B433:B460)</f>
        <v>0</v>
      </c>
      <c r="C461" s="54"/>
      <c r="D461" s="55"/>
      <c r="E461" s="56">
        <f t="shared" ref="E461:H461" si="13">SUM(E433:E460)</f>
        <v>0</v>
      </c>
      <c r="F461" s="57">
        <f t="shared" si="13"/>
        <v>0</v>
      </c>
      <c r="G461" s="56">
        <f t="shared" si="13"/>
        <v>0</v>
      </c>
      <c r="H461" s="66">
        <f t="shared" si="13"/>
        <v>0</v>
      </c>
      <c r="I461" s="54"/>
      <c r="J461" s="58"/>
      <c r="K461" s="58"/>
      <c r="L461" s="5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3"/>
      <c r="D463" s="4" t="s">
        <v>1</v>
      </c>
      <c r="E463" s="5" t="s">
        <v>33</v>
      </c>
      <c r="F463" s="6"/>
      <c r="G463" s="6"/>
      <c r="H463" s="7"/>
      <c r="I463" s="8" t="s">
        <v>3</v>
      </c>
      <c r="J463" s="59" t="s">
        <v>4</v>
      </c>
      <c r="K463" s="10"/>
      <c r="L463" s="60" t="s">
        <v>5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2" t="s">
        <v>6</v>
      </c>
      <c r="C464" s="61" t="s">
        <v>7</v>
      </c>
      <c r="D464" s="14" t="s">
        <v>18</v>
      </c>
      <c r="E464" s="16">
        <v>10000.0</v>
      </c>
      <c r="F464" s="16">
        <v>18170.0</v>
      </c>
      <c r="G464" s="16">
        <v>21500.0</v>
      </c>
      <c r="H464" s="17">
        <v>62000.0</v>
      </c>
      <c r="I464" s="62">
        <v>2.0</v>
      </c>
      <c r="J464" s="19" t="s">
        <v>8</v>
      </c>
      <c r="K464" s="63" t="s">
        <v>32</v>
      </c>
      <c r="L464" s="2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2"/>
      <c r="C465" s="1"/>
      <c r="D465" s="23"/>
      <c r="E465" s="1"/>
      <c r="F465" s="1"/>
      <c r="G465" s="1"/>
      <c r="H465" s="1"/>
      <c r="I465" s="1"/>
      <c r="J465" s="1"/>
      <c r="K465" s="1"/>
      <c r="L465" s="2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5"/>
      <c r="C466" s="26"/>
      <c r="D466" s="26"/>
      <c r="E466" s="26"/>
      <c r="F466" s="26"/>
      <c r="G466" s="26"/>
      <c r="H466" s="26"/>
      <c r="I466" s="26"/>
      <c r="J466" s="26"/>
      <c r="K466" s="1"/>
      <c r="L466" s="2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7" t="s">
        <v>10</v>
      </c>
      <c r="C467" s="27" t="s">
        <v>11</v>
      </c>
      <c r="D467" s="27" t="s">
        <v>19</v>
      </c>
      <c r="E467" s="27">
        <v>5.0</v>
      </c>
      <c r="F467" s="27">
        <v>11.0</v>
      </c>
      <c r="G467" s="27">
        <v>15.0</v>
      </c>
      <c r="H467" s="29">
        <v>45.0</v>
      </c>
      <c r="I467" s="27" t="s">
        <v>13</v>
      </c>
      <c r="J467" s="30" t="s">
        <v>14</v>
      </c>
      <c r="K467" s="31" t="s">
        <v>15</v>
      </c>
      <c r="L467" s="27" t="s">
        <v>16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38"/>
      <c r="C468" s="40"/>
      <c r="D468" s="40"/>
      <c r="E468" s="41"/>
      <c r="F468" s="41"/>
      <c r="G468" s="41"/>
      <c r="H468" s="41"/>
      <c r="I468" s="40"/>
      <c r="J468" s="40"/>
      <c r="K468" s="64"/>
      <c r="L468" s="6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44"/>
      <c r="C469" s="40"/>
      <c r="D469" s="40"/>
      <c r="E469" s="41"/>
      <c r="F469" s="41"/>
      <c r="G469" s="41"/>
      <c r="H469" s="41"/>
      <c r="I469" s="40"/>
      <c r="J469" s="40"/>
      <c r="K469" s="64"/>
      <c r="L469" s="6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44"/>
      <c r="C470" s="40"/>
      <c r="D470" s="40"/>
      <c r="E470" s="41"/>
      <c r="F470" s="41"/>
      <c r="G470" s="41"/>
      <c r="H470" s="41"/>
      <c r="I470" s="40"/>
      <c r="J470" s="40"/>
      <c r="K470" s="64"/>
      <c r="L470" s="6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7"/>
      <c r="C471" s="40"/>
      <c r="D471" s="40"/>
      <c r="E471" s="41"/>
      <c r="F471" s="41"/>
      <c r="G471" s="41"/>
      <c r="H471" s="41"/>
      <c r="I471" s="40"/>
      <c r="J471" s="40"/>
      <c r="K471" s="64"/>
      <c r="L471" s="6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44"/>
      <c r="C472" s="40"/>
      <c r="D472" s="40"/>
      <c r="E472" s="41"/>
      <c r="F472" s="41"/>
      <c r="G472" s="41"/>
      <c r="H472" s="41"/>
      <c r="I472" s="40"/>
      <c r="J472" s="40"/>
      <c r="K472" s="64"/>
      <c r="L472" s="6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44"/>
      <c r="C473" s="40"/>
      <c r="D473" s="40"/>
      <c r="E473" s="41"/>
      <c r="F473" s="41"/>
      <c r="G473" s="41"/>
      <c r="H473" s="41"/>
      <c r="I473" s="40"/>
      <c r="J473" s="40"/>
      <c r="K473" s="64"/>
      <c r="L473" s="6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44"/>
      <c r="C474" s="40"/>
      <c r="D474" s="40"/>
      <c r="E474" s="41"/>
      <c r="F474" s="41"/>
      <c r="G474" s="41"/>
      <c r="H474" s="41"/>
      <c r="I474" s="40"/>
      <c r="J474" s="40"/>
      <c r="K474" s="64"/>
      <c r="L474" s="6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44"/>
      <c r="C475" s="40"/>
      <c r="D475" s="40"/>
      <c r="E475" s="41"/>
      <c r="F475" s="41"/>
      <c r="G475" s="41"/>
      <c r="H475" s="41"/>
      <c r="I475" s="40"/>
      <c r="J475" s="40"/>
      <c r="K475" s="64"/>
      <c r="L475" s="6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44"/>
      <c r="C476" s="40"/>
      <c r="D476" s="40"/>
      <c r="E476" s="41"/>
      <c r="F476" s="41"/>
      <c r="G476" s="41"/>
      <c r="H476" s="41"/>
      <c r="I476" s="40"/>
      <c r="J476" s="40"/>
      <c r="K476" s="64"/>
      <c r="L476" s="6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44"/>
      <c r="C477" s="40"/>
      <c r="D477" s="40"/>
      <c r="E477" s="41"/>
      <c r="F477" s="41"/>
      <c r="G477" s="41"/>
      <c r="H477" s="41"/>
      <c r="I477" s="40"/>
      <c r="J477" s="40"/>
      <c r="K477" s="64"/>
      <c r="L477" s="6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0"/>
      <c r="C478" s="39"/>
      <c r="D478" s="39"/>
      <c r="E478" s="45"/>
      <c r="F478" s="45"/>
      <c r="G478" s="45"/>
      <c r="H478" s="45"/>
      <c r="I478" s="39"/>
      <c r="J478" s="39"/>
      <c r="K478" s="64"/>
      <c r="L478" s="6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0"/>
      <c r="C479" s="39"/>
      <c r="D479" s="39"/>
      <c r="E479" s="45"/>
      <c r="F479" s="45"/>
      <c r="G479" s="45"/>
      <c r="H479" s="45"/>
      <c r="I479" s="39"/>
      <c r="J479" s="39"/>
      <c r="K479" s="64"/>
      <c r="L479" s="6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0"/>
      <c r="C480" s="39"/>
      <c r="D480" s="39"/>
      <c r="E480" s="45"/>
      <c r="F480" s="45"/>
      <c r="G480" s="45"/>
      <c r="H480" s="45"/>
      <c r="I480" s="39"/>
      <c r="J480" s="39"/>
      <c r="K480" s="64"/>
      <c r="L480" s="6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0"/>
      <c r="C481" s="39"/>
      <c r="D481" s="39"/>
      <c r="E481" s="45"/>
      <c r="F481" s="45"/>
      <c r="G481" s="45"/>
      <c r="H481" s="45"/>
      <c r="I481" s="39"/>
      <c r="J481" s="39"/>
      <c r="K481" s="64"/>
      <c r="L481" s="6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0"/>
      <c r="C482" s="39"/>
      <c r="D482" s="39"/>
      <c r="E482" s="45"/>
      <c r="F482" s="45"/>
      <c r="G482" s="45"/>
      <c r="H482" s="45"/>
      <c r="I482" s="39"/>
      <c r="J482" s="39"/>
      <c r="K482" s="64"/>
      <c r="L482" s="6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0"/>
      <c r="C483" s="39"/>
      <c r="D483" s="39"/>
      <c r="E483" s="45"/>
      <c r="F483" s="45"/>
      <c r="G483" s="45"/>
      <c r="H483" s="45"/>
      <c r="I483" s="39"/>
      <c r="J483" s="39"/>
      <c r="K483" s="64"/>
      <c r="L483" s="6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0"/>
      <c r="C484" s="39"/>
      <c r="D484" s="39"/>
      <c r="E484" s="45"/>
      <c r="F484" s="45"/>
      <c r="G484" s="45"/>
      <c r="H484" s="45"/>
      <c r="I484" s="39"/>
      <c r="J484" s="39"/>
      <c r="K484" s="64"/>
      <c r="L484" s="6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0"/>
      <c r="C485" s="39"/>
      <c r="D485" s="39"/>
      <c r="E485" s="45"/>
      <c r="F485" s="45"/>
      <c r="G485" s="45"/>
      <c r="H485" s="45"/>
      <c r="I485" s="39"/>
      <c r="J485" s="39"/>
      <c r="K485" s="64"/>
      <c r="L485" s="6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0"/>
      <c r="C486" s="39"/>
      <c r="D486" s="39"/>
      <c r="E486" s="45"/>
      <c r="F486" s="45"/>
      <c r="G486" s="45"/>
      <c r="H486" s="45"/>
      <c r="I486" s="39"/>
      <c r="J486" s="39"/>
      <c r="K486" s="64"/>
      <c r="L486" s="6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0"/>
      <c r="C487" s="39"/>
      <c r="D487" s="39"/>
      <c r="E487" s="45"/>
      <c r="F487" s="45"/>
      <c r="G487" s="45"/>
      <c r="H487" s="45"/>
      <c r="I487" s="39"/>
      <c r="J487" s="39"/>
      <c r="K487" s="64"/>
      <c r="L487" s="6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44"/>
      <c r="C488" s="39"/>
      <c r="D488" s="39"/>
      <c r="E488" s="45"/>
      <c r="F488" s="45"/>
      <c r="G488" s="45"/>
      <c r="H488" s="45"/>
      <c r="I488" s="39"/>
      <c r="J488" s="39"/>
      <c r="K488" s="64"/>
      <c r="L488" s="6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44"/>
      <c r="C489" s="39"/>
      <c r="D489" s="39"/>
      <c r="E489" s="45"/>
      <c r="F489" s="45"/>
      <c r="G489" s="45"/>
      <c r="H489" s="45"/>
      <c r="I489" s="39"/>
      <c r="J489" s="39"/>
      <c r="K489" s="64"/>
      <c r="L489" s="6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44"/>
      <c r="C490" s="39"/>
      <c r="D490" s="39"/>
      <c r="E490" s="45"/>
      <c r="F490" s="45"/>
      <c r="G490" s="45"/>
      <c r="H490" s="45"/>
      <c r="I490" s="39"/>
      <c r="J490" s="39"/>
      <c r="K490" s="64"/>
      <c r="L490" s="6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44"/>
      <c r="C491" s="39"/>
      <c r="D491" s="39"/>
      <c r="E491" s="45"/>
      <c r="F491" s="45"/>
      <c r="G491" s="45"/>
      <c r="H491" s="45"/>
      <c r="I491" s="39"/>
      <c r="J491" s="39"/>
      <c r="K491" s="64"/>
      <c r="L491" s="6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44"/>
      <c r="C492" s="39"/>
      <c r="D492" s="39"/>
      <c r="E492" s="45"/>
      <c r="F492" s="45"/>
      <c r="G492" s="45"/>
      <c r="H492" s="45"/>
      <c r="I492" s="39"/>
      <c r="J492" s="39"/>
      <c r="K492" s="64"/>
      <c r="L492" s="6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44"/>
      <c r="C493" s="39"/>
      <c r="D493" s="39"/>
      <c r="E493" s="45"/>
      <c r="F493" s="45"/>
      <c r="G493" s="45"/>
      <c r="H493" s="45"/>
      <c r="I493" s="39"/>
      <c r="J493" s="39"/>
      <c r="K493" s="64"/>
      <c r="L493" s="6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44"/>
      <c r="C494" s="39"/>
      <c r="D494" s="39"/>
      <c r="E494" s="45"/>
      <c r="F494" s="45"/>
      <c r="G494" s="45"/>
      <c r="H494" s="45"/>
      <c r="I494" s="39"/>
      <c r="J494" s="39"/>
      <c r="K494" s="64"/>
      <c r="L494" s="6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3">
        <f>SUM(B468:B494)</f>
        <v>0</v>
      </c>
      <c r="C495" s="54"/>
      <c r="D495" s="55"/>
      <c r="E495" s="56">
        <f t="shared" ref="E495:H495" si="14">SUM(E468:E494)</f>
        <v>0</v>
      </c>
      <c r="F495" s="57">
        <f t="shared" si="14"/>
        <v>0</v>
      </c>
      <c r="G495" s="56">
        <f t="shared" si="14"/>
        <v>0</v>
      </c>
      <c r="H495" s="66">
        <f t="shared" si="14"/>
        <v>0</v>
      </c>
      <c r="I495" s="54"/>
      <c r="J495" s="58"/>
      <c r="K495" s="58"/>
      <c r="L495" s="5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8"/>
      <c r="C496" s="99"/>
      <c r="D496" s="100"/>
      <c r="E496" s="101"/>
      <c r="F496" s="102"/>
      <c r="G496" s="102"/>
      <c r="H496" s="103"/>
      <c r="I496" s="104"/>
      <c r="J496" s="105"/>
      <c r="K496" s="105"/>
      <c r="L496" s="106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3"/>
      <c r="D497" s="4" t="s">
        <v>1</v>
      </c>
      <c r="E497" s="5" t="s">
        <v>34</v>
      </c>
      <c r="F497" s="6"/>
      <c r="G497" s="6"/>
      <c r="H497" s="7"/>
      <c r="I497" s="8" t="s">
        <v>3</v>
      </c>
      <c r="J497" s="59" t="s">
        <v>4</v>
      </c>
      <c r="K497" s="10"/>
      <c r="L497" s="60" t="s">
        <v>5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2" t="s">
        <v>6</v>
      </c>
      <c r="C498" s="61" t="s">
        <v>7</v>
      </c>
      <c r="D498" s="14" t="s">
        <v>18</v>
      </c>
      <c r="E498" s="16">
        <v>10000.0</v>
      </c>
      <c r="F498" s="16">
        <v>18170.0</v>
      </c>
      <c r="G498" s="16">
        <v>21500.0</v>
      </c>
      <c r="H498" s="17">
        <v>62000.0</v>
      </c>
      <c r="I498" s="62">
        <v>3.0</v>
      </c>
      <c r="J498" s="19" t="s">
        <v>8</v>
      </c>
      <c r="K498" s="63" t="s">
        <v>32</v>
      </c>
      <c r="L498" s="2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2"/>
      <c r="C499" s="1"/>
      <c r="D499" s="23"/>
      <c r="E499" s="1"/>
      <c r="F499" s="1"/>
      <c r="G499" s="1"/>
      <c r="H499" s="1"/>
      <c r="I499" s="1"/>
      <c r="J499" s="1"/>
      <c r="K499" s="1"/>
      <c r="L499" s="2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5"/>
      <c r="C500" s="26"/>
      <c r="D500" s="26"/>
      <c r="E500" s="26"/>
      <c r="F500" s="26"/>
      <c r="G500" s="26"/>
      <c r="H500" s="26"/>
      <c r="I500" s="26"/>
      <c r="J500" s="26"/>
      <c r="K500" s="1"/>
      <c r="L500" s="2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7" t="s">
        <v>10</v>
      </c>
      <c r="C501" s="27" t="s">
        <v>11</v>
      </c>
      <c r="D501" s="27" t="s">
        <v>19</v>
      </c>
      <c r="E501" s="27">
        <v>5.0</v>
      </c>
      <c r="F501" s="27">
        <v>11.0</v>
      </c>
      <c r="G501" s="27">
        <v>15.0</v>
      </c>
      <c r="H501" s="29">
        <v>45.0</v>
      </c>
      <c r="I501" s="27" t="s">
        <v>13</v>
      </c>
      <c r="J501" s="30" t="s">
        <v>14</v>
      </c>
      <c r="K501" s="31" t="s">
        <v>15</v>
      </c>
      <c r="L501" s="27" t="s">
        <v>16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38"/>
      <c r="C502" s="40"/>
      <c r="D502" s="40"/>
      <c r="E502" s="41"/>
      <c r="F502" s="41"/>
      <c r="G502" s="41"/>
      <c r="H502" s="41"/>
      <c r="I502" s="40"/>
      <c r="J502" s="40"/>
      <c r="K502" s="64"/>
      <c r="L502" s="10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44"/>
      <c r="C503" s="40"/>
      <c r="D503" s="40"/>
      <c r="E503" s="41"/>
      <c r="F503" s="41"/>
      <c r="G503" s="41"/>
      <c r="H503" s="41"/>
      <c r="I503" s="40"/>
      <c r="J503" s="40"/>
      <c r="K503" s="64"/>
      <c r="L503" s="6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44"/>
      <c r="C504" s="40"/>
      <c r="D504" s="40"/>
      <c r="E504" s="41"/>
      <c r="F504" s="41"/>
      <c r="G504" s="41"/>
      <c r="H504" s="41"/>
      <c r="I504" s="40"/>
      <c r="J504" s="40"/>
      <c r="K504" s="64"/>
      <c r="L504" s="6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7"/>
      <c r="C505" s="40"/>
      <c r="D505" s="40"/>
      <c r="E505" s="41"/>
      <c r="F505" s="41"/>
      <c r="G505" s="41"/>
      <c r="H505" s="41"/>
      <c r="I505" s="40"/>
      <c r="J505" s="40"/>
      <c r="K505" s="64"/>
      <c r="L505" s="6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44"/>
      <c r="C506" s="40"/>
      <c r="D506" s="40"/>
      <c r="E506" s="41"/>
      <c r="F506" s="41"/>
      <c r="G506" s="41"/>
      <c r="H506" s="41"/>
      <c r="I506" s="40"/>
      <c r="J506" s="40"/>
      <c r="K506" s="64"/>
      <c r="L506" s="6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44"/>
      <c r="C507" s="40"/>
      <c r="D507" s="40"/>
      <c r="E507" s="41"/>
      <c r="F507" s="41"/>
      <c r="G507" s="41"/>
      <c r="H507" s="41"/>
      <c r="I507" s="40"/>
      <c r="J507" s="40"/>
      <c r="K507" s="64"/>
      <c r="L507" s="6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44"/>
      <c r="C508" s="40"/>
      <c r="D508" s="40"/>
      <c r="E508" s="41"/>
      <c r="F508" s="41"/>
      <c r="G508" s="41"/>
      <c r="H508" s="41"/>
      <c r="I508" s="40"/>
      <c r="J508" s="40"/>
      <c r="K508" s="64"/>
      <c r="L508" s="6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44"/>
      <c r="C509" s="40"/>
      <c r="D509" s="40"/>
      <c r="E509" s="41"/>
      <c r="F509" s="41"/>
      <c r="G509" s="41"/>
      <c r="H509" s="41"/>
      <c r="I509" s="40"/>
      <c r="J509" s="40"/>
      <c r="K509" s="64"/>
      <c r="L509" s="6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44"/>
      <c r="C510" s="40"/>
      <c r="D510" s="40"/>
      <c r="E510" s="41"/>
      <c r="F510" s="41"/>
      <c r="G510" s="41"/>
      <c r="H510" s="41"/>
      <c r="I510" s="40"/>
      <c r="J510" s="39"/>
      <c r="K510" s="64"/>
      <c r="L510" s="6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44"/>
      <c r="C511" s="40"/>
      <c r="D511" s="40"/>
      <c r="E511" s="41"/>
      <c r="F511" s="41"/>
      <c r="G511" s="41"/>
      <c r="H511" s="41"/>
      <c r="I511" s="40"/>
      <c r="J511" s="39"/>
      <c r="K511" s="64"/>
      <c r="L511" s="6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44"/>
      <c r="C512" s="40"/>
      <c r="D512" s="40"/>
      <c r="E512" s="41"/>
      <c r="F512" s="41"/>
      <c r="G512" s="41"/>
      <c r="H512" s="41"/>
      <c r="I512" s="40"/>
      <c r="J512" s="39"/>
      <c r="K512" s="64"/>
      <c r="L512" s="6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0"/>
      <c r="C513" s="39"/>
      <c r="D513" s="39"/>
      <c r="E513" s="45"/>
      <c r="F513" s="45"/>
      <c r="G513" s="45"/>
      <c r="H513" s="45"/>
      <c r="I513" s="39"/>
      <c r="J513" s="39"/>
      <c r="K513" s="64"/>
      <c r="L513" s="6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0"/>
      <c r="C514" s="39"/>
      <c r="D514" s="39"/>
      <c r="E514" s="45"/>
      <c r="F514" s="45"/>
      <c r="G514" s="45"/>
      <c r="H514" s="45"/>
      <c r="I514" s="39"/>
      <c r="J514" s="39"/>
      <c r="K514" s="64"/>
      <c r="L514" s="6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44"/>
      <c r="C515" s="39"/>
      <c r="D515" s="39"/>
      <c r="E515" s="45"/>
      <c r="F515" s="45"/>
      <c r="G515" s="45"/>
      <c r="H515" s="45"/>
      <c r="I515" s="39"/>
      <c r="J515" s="39"/>
      <c r="K515" s="64"/>
      <c r="L515" s="6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44"/>
      <c r="C516" s="39"/>
      <c r="D516" s="39"/>
      <c r="E516" s="45"/>
      <c r="F516" s="45"/>
      <c r="G516" s="45"/>
      <c r="H516" s="45"/>
      <c r="I516" s="39"/>
      <c r="J516" s="39"/>
      <c r="K516" s="64"/>
      <c r="L516" s="6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44"/>
      <c r="C517" s="39"/>
      <c r="D517" s="39"/>
      <c r="E517" s="45"/>
      <c r="F517" s="45"/>
      <c r="G517" s="45"/>
      <c r="H517" s="45"/>
      <c r="I517" s="39"/>
      <c r="J517" s="39"/>
      <c r="K517" s="64"/>
      <c r="L517" s="6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44"/>
      <c r="C518" s="39"/>
      <c r="D518" s="39"/>
      <c r="E518" s="45"/>
      <c r="F518" s="45"/>
      <c r="G518" s="45"/>
      <c r="H518" s="45"/>
      <c r="I518" s="39"/>
      <c r="J518" s="39"/>
      <c r="K518" s="64"/>
      <c r="L518" s="6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44"/>
      <c r="C519" s="39"/>
      <c r="D519" s="39"/>
      <c r="E519" s="45"/>
      <c r="F519" s="45"/>
      <c r="G519" s="45"/>
      <c r="H519" s="45"/>
      <c r="I519" s="39"/>
      <c r="J519" s="39"/>
      <c r="K519" s="64"/>
      <c r="L519" s="6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44"/>
      <c r="C520" s="39"/>
      <c r="D520" s="39"/>
      <c r="E520" s="45"/>
      <c r="F520" s="45"/>
      <c r="G520" s="45"/>
      <c r="H520" s="45"/>
      <c r="I520" s="39"/>
      <c r="J520" s="39"/>
      <c r="K520" s="64"/>
      <c r="L520" s="6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44"/>
      <c r="C521" s="39"/>
      <c r="D521" s="39"/>
      <c r="E521" s="45"/>
      <c r="F521" s="45"/>
      <c r="G521" s="45"/>
      <c r="H521" s="45"/>
      <c r="I521" s="39"/>
      <c r="J521" s="39"/>
      <c r="K521" s="64"/>
      <c r="L521" s="6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44"/>
      <c r="C522" s="39"/>
      <c r="D522" s="39"/>
      <c r="E522" s="45"/>
      <c r="F522" s="45"/>
      <c r="G522" s="45"/>
      <c r="H522" s="45"/>
      <c r="I522" s="39"/>
      <c r="J522" s="39"/>
      <c r="K522" s="64"/>
      <c r="L522" s="6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44"/>
      <c r="C523" s="39"/>
      <c r="D523" s="39"/>
      <c r="E523" s="45"/>
      <c r="F523" s="45"/>
      <c r="G523" s="45"/>
      <c r="H523" s="45"/>
      <c r="I523" s="39"/>
      <c r="J523" s="39"/>
      <c r="K523" s="64"/>
      <c r="L523" s="6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44"/>
      <c r="C524" s="39"/>
      <c r="D524" s="39"/>
      <c r="E524" s="45"/>
      <c r="F524" s="45"/>
      <c r="G524" s="45"/>
      <c r="H524" s="45"/>
      <c r="I524" s="39"/>
      <c r="J524" s="39"/>
      <c r="K524" s="64"/>
      <c r="L524" s="6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44"/>
      <c r="C525" s="39"/>
      <c r="D525" s="39"/>
      <c r="E525" s="45"/>
      <c r="F525" s="45"/>
      <c r="G525" s="45"/>
      <c r="H525" s="45"/>
      <c r="I525" s="39"/>
      <c r="J525" s="39"/>
      <c r="K525" s="64"/>
      <c r="L525" s="6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44"/>
      <c r="C526" s="39"/>
      <c r="D526" s="39"/>
      <c r="E526" s="45"/>
      <c r="F526" s="45"/>
      <c r="G526" s="45"/>
      <c r="H526" s="45"/>
      <c r="I526" s="39"/>
      <c r="J526" s="39"/>
      <c r="K526" s="64"/>
      <c r="L526" s="6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3">
        <f>SUM(B502:B526)</f>
        <v>0</v>
      </c>
      <c r="C527" s="54"/>
      <c r="D527" s="55"/>
      <c r="E527" s="56">
        <f t="shared" ref="E527:H527" si="15">SUM(E502:E526)</f>
        <v>0</v>
      </c>
      <c r="F527" s="57">
        <f t="shared" si="15"/>
        <v>0</v>
      </c>
      <c r="G527" s="56">
        <f t="shared" si="15"/>
        <v>0</v>
      </c>
      <c r="H527" s="66">
        <f t="shared" si="15"/>
        <v>0</v>
      </c>
      <c r="I527" s="54"/>
      <c r="J527" s="58"/>
      <c r="K527" s="58"/>
      <c r="L527" s="5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3"/>
      <c r="D529" s="4" t="s">
        <v>1</v>
      </c>
      <c r="E529" s="5" t="s">
        <v>35</v>
      </c>
      <c r="F529" s="6"/>
      <c r="G529" s="6"/>
      <c r="H529" s="7"/>
      <c r="I529" s="8" t="s">
        <v>3</v>
      </c>
      <c r="J529" s="59" t="s">
        <v>4</v>
      </c>
      <c r="K529" s="10"/>
      <c r="L529" s="60" t="s">
        <v>5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2" t="s">
        <v>6</v>
      </c>
      <c r="C530" s="61" t="s">
        <v>7</v>
      </c>
      <c r="D530" s="14" t="s">
        <v>18</v>
      </c>
      <c r="E530" s="16">
        <v>10000.0</v>
      </c>
      <c r="F530" s="16">
        <v>18170.0</v>
      </c>
      <c r="G530" s="16">
        <v>21500.0</v>
      </c>
      <c r="H530" s="17">
        <v>62000.0</v>
      </c>
      <c r="I530" s="62">
        <v>3.0</v>
      </c>
      <c r="J530" s="19" t="s">
        <v>8</v>
      </c>
      <c r="K530" s="63" t="s">
        <v>32</v>
      </c>
      <c r="L530" s="2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2"/>
      <c r="C531" s="1"/>
      <c r="D531" s="23"/>
      <c r="E531" s="1"/>
      <c r="F531" s="1"/>
      <c r="G531" s="1"/>
      <c r="H531" s="1"/>
      <c r="I531" s="1"/>
      <c r="J531" s="1"/>
      <c r="K531" s="1"/>
      <c r="L531" s="2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5"/>
      <c r="C532" s="26"/>
      <c r="D532" s="26"/>
      <c r="E532" s="26"/>
      <c r="F532" s="26"/>
      <c r="G532" s="26"/>
      <c r="H532" s="26"/>
      <c r="I532" s="26"/>
      <c r="J532" s="26"/>
      <c r="K532" s="1"/>
      <c r="L532" s="2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7" t="s">
        <v>10</v>
      </c>
      <c r="C533" s="27" t="s">
        <v>11</v>
      </c>
      <c r="D533" s="27" t="s">
        <v>19</v>
      </c>
      <c r="E533" s="27">
        <v>5.0</v>
      </c>
      <c r="F533" s="27">
        <v>11.0</v>
      </c>
      <c r="G533" s="27">
        <v>15.0</v>
      </c>
      <c r="H533" s="29">
        <v>45.0</v>
      </c>
      <c r="I533" s="27" t="s">
        <v>13</v>
      </c>
      <c r="J533" s="30" t="s">
        <v>14</v>
      </c>
      <c r="K533" s="31" t="s">
        <v>15</v>
      </c>
      <c r="L533" s="27" t="s">
        <v>16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38"/>
      <c r="C534" s="40"/>
      <c r="D534" s="40"/>
      <c r="E534" s="41"/>
      <c r="F534" s="41"/>
      <c r="G534" s="41"/>
      <c r="H534" s="41"/>
      <c r="I534" s="40"/>
      <c r="J534" s="40"/>
      <c r="K534" s="64"/>
      <c r="L534" s="6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44"/>
      <c r="C535" s="40"/>
      <c r="D535" s="40"/>
      <c r="E535" s="41"/>
      <c r="F535" s="41"/>
      <c r="G535" s="41"/>
      <c r="H535" s="41"/>
      <c r="I535" s="40"/>
      <c r="J535" s="40"/>
      <c r="K535" s="64"/>
      <c r="L535" s="6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44"/>
      <c r="C536" s="40"/>
      <c r="D536" s="40"/>
      <c r="E536" s="41"/>
      <c r="F536" s="41"/>
      <c r="G536" s="41"/>
      <c r="H536" s="41"/>
      <c r="I536" s="40"/>
      <c r="J536" s="40"/>
      <c r="K536" s="64"/>
      <c r="L536" s="6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7"/>
      <c r="C537" s="40"/>
      <c r="D537" s="40"/>
      <c r="E537" s="41"/>
      <c r="F537" s="41"/>
      <c r="G537" s="41"/>
      <c r="H537" s="41"/>
      <c r="I537" s="40"/>
      <c r="J537" s="40"/>
      <c r="K537" s="64"/>
      <c r="L537" s="6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44"/>
      <c r="C538" s="40"/>
      <c r="D538" s="40"/>
      <c r="E538" s="41"/>
      <c r="F538" s="41"/>
      <c r="G538" s="41"/>
      <c r="H538" s="41"/>
      <c r="I538" s="40"/>
      <c r="J538" s="40"/>
      <c r="K538" s="64"/>
      <c r="L538" s="6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44"/>
      <c r="C539" s="40"/>
      <c r="D539" s="40"/>
      <c r="E539" s="41"/>
      <c r="F539" s="41"/>
      <c r="G539" s="41"/>
      <c r="H539" s="41"/>
      <c r="I539" s="40"/>
      <c r="J539" s="40"/>
      <c r="K539" s="64"/>
      <c r="L539" s="6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44"/>
      <c r="C540" s="40"/>
      <c r="D540" s="40"/>
      <c r="E540" s="41"/>
      <c r="F540" s="41"/>
      <c r="G540" s="41"/>
      <c r="H540" s="41"/>
      <c r="I540" s="40"/>
      <c r="J540" s="40"/>
      <c r="K540" s="64"/>
      <c r="L540" s="6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44"/>
      <c r="C541" s="40"/>
      <c r="D541" s="40"/>
      <c r="E541" s="41"/>
      <c r="F541" s="41"/>
      <c r="G541" s="41"/>
      <c r="H541" s="41"/>
      <c r="I541" s="40"/>
      <c r="J541" s="40"/>
      <c r="K541" s="64"/>
      <c r="L541" s="6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44"/>
      <c r="C542" s="40"/>
      <c r="D542" s="40"/>
      <c r="E542" s="41"/>
      <c r="F542" s="41"/>
      <c r="G542" s="41"/>
      <c r="H542" s="41"/>
      <c r="I542" s="40"/>
      <c r="J542" s="39"/>
      <c r="K542" s="64"/>
      <c r="L542" s="6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44"/>
      <c r="C543" s="40"/>
      <c r="D543" s="40"/>
      <c r="E543" s="41"/>
      <c r="F543" s="41"/>
      <c r="G543" s="41"/>
      <c r="H543" s="41"/>
      <c r="I543" s="40"/>
      <c r="J543" s="39"/>
      <c r="K543" s="64"/>
      <c r="L543" s="6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44"/>
      <c r="C544" s="40"/>
      <c r="D544" s="40"/>
      <c r="E544" s="41"/>
      <c r="F544" s="41"/>
      <c r="G544" s="41"/>
      <c r="H544" s="41"/>
      <c r="I544" s="40"/>
      <c r="J544" s="39"/>
      <c r="K544" s="64"/>
      <c r="L544" s="6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44"/>
      <c r="C545" s="40"/>
      <c r="D545" s="40"/>
      <c r="E545" s="41"/>
      <c r="F545" s="41"/>
      <c r="G545" s="41"/>
      <c r="H545" s="41"/>
      <c r="I545" s="40"/>
      <c r="J545" s="39"/>
      <c r="K545" s="64"/>
      <c r="L545" s="6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44"/>
      <c r="C546" s="40"/>
      <c r="D546" s="40"/>
      <c r="E546" s="41"/>
      <c r="F546" s="41"/>
      <c r="G546" s="41"/>
      <c r="H546" s="41"/>
      <c r="I546" s="40"/>
      <c r="J546" s="39"/>
      <c r="K546" s="64"/>
      <c r="L546" s="6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44"/>
      <c r="C547" s="39"/>
      <c r="D547" s="39"/>
      <c r="E547" s="45"/>
      <c r="F547" s="45"/>
      <c r="G547" s="45"/>
      <c r="H547" s="45"/>
      <c r="I547" s="39"/>
      <c r="J547" s="39"/>
      <c r="K547" s="64"/>
      <c r="L547" s="6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44"/>
      <c r="C548" s="39"/>
      <c r="D548" s="39"/>
      <c r="E548" s="45"/>
      <c r="F548" s="45"/>
      <c r="G548" s="45"/>
      <c r="H548" s="45"/>
      <c r="I548" s="39"/>
      <c r="J548" s="39"/>
      <c r="K548" s="64"/>
      <c r="L548" s="6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44"/>
      <c r="C549" s="39"/>
      <c r="D549" s="39"/>
      <c r="E549" s="45"/>
      <c r="F549" s="45"/>
      <c r="G549" s="45"/>
      <c r="H549" s="45"/>
      <c r="I549" s="39"/>
      <c r="J549" s="39"/>
      <c r="K549" s="64"/>
      <c r="L549" s="6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44"/>
      <c r="C550" s="39"/>
      <c r="D550" s="39"/>
      <c r="E550" s="45"/>
      <c r="F550" s="45"/>
      <c r="G550" s="45"/>
      <c r="H550" s="45"/>
      <c r="I550" s="39"/>
      <c r="J550" s="39"/>
      <c r="K550" s="64"/>
      <c r="L550" s="6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44"/>
      <c r="C551" s="39"/>
      <c r="D551" s="39"/>
      <c r="E551" s="45"/>
      <c r="F551" s="45"/>
      <c r="G551" s="45"/>
      <c r="H551" s="45"/>
      <c r="I551" s="39"/>
      <c r="J551" s="39"/>
      <c r="K551" s="64"/>
      <c r="L551" s="10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44"/>
      <c r="C552" s="39"/>
      <c r="D552" s="39"/>
      <c r="E552" s="45"/>
      <c r="F552" s="45"/>
      <c r="G552" s="45"/>
      <c r="H552" s="45"/>
      <c r="I552" s="39"/>
      <c r="J552" s="39"/>
      <c r="K552" s="64"/>
      <c r="L552" s="10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44"/>
      <c r="C553" s="39"/>
      <c r="D553" s="39"/>
      <c r="E553" s="45"/>
      <c r="F553" s="45"/>
      <c r="G553" s="45"/>
      <c r="H553" s="45"/>
      <c r="I553" s="39"/>
      <c r="J553" s="39"/>
      <c r="K553" s="64"/>
      <c r="L553" s="10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44"/>
      <c r="C554" s="39"/>
      <c r="D554" s="39"/>
      <c r="E554" s="45"/>
      <c r="F554" s="45"/>
      <c r="G554" s="45"/>
      <c r="H554" s="45"/>
      <c r="I554" s="39"/>
      <c r="J554" s="39"/>
      <c r="K554" s="64"/>
      <c r="L554" s="10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44"/>
      <c r="C555" s="39"/>
      <c r="D555" s="39"/>
      <c r="E555" s="45"/>
      <c r="F555" s="45"/>
      <c r="G555" s="45"/>
      <c r="H555" s="45"/>
      <c r="I555" s="39"/>
      <c r="J555" s="39"/>
      <c r="K555" s="64"/>
      <c r="L555" s="10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44"/>
      <c r="C556" s="39"/>
      <c r="D556" s="39"/>
      <c r="E556" s="45"/>
      <c r="F556" s="45"/>
      <c r="G556" s="45"/>
      <c r="H556" s="45"/>
      <c r="I556" s="39"/>
      <c r="J556" s="39"/>
      <c r="K556" s="64"/>
      <c r="L556" s="10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44"/>
      <c r="C557" s="39"/>
      <c r="D557" s="39"/>
      <c r="E557" s="45"/>
      <c r="F557" s="45"/>
      <c r="G557" s="45"/>
      <c r="H557" s="45"/>
      <c r="I557" s="39"/>
      <c r="J557" s="39"/>
      <c r="K557" s="64"/>
      <c r="L557" s="10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3">
        <f>SUM(B534:B557)</f>
        <v>0</v>
      </c>
      <c r="C558" s="54"/>
      <c r="D558" s="55"/>
      <c r="E558" s="56"/>
      <c r="F558" s="57">
        <f t="shared" ref="F558:H558" si="16">SUM(F534:F557)</f>
        <v>0</v>
      </c>
      <c r="G558" s="56">
        <f t="shared" si="16"/>
        <v>0</v>
      </c>
      <c r="H558" s="66">
        <f t="shared" si="16"/>
        <v>0</v>
      </c>
      <c r="I558" s="54"/>
      <c r="J558" s="58"/>
      <c r="K558" s="58"/>
      <c r="L558" s="5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68"/>
      <c r="F562" s="68"/>
      <c r="G562" s="68"/>
      <c r="H562" s="68"/>
      <c r="I562" s="1"/>
      <c r="J562" s="1"/>
      <c r="K562" s="10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09"/>
      <c r="C570" s="110"/>
      <c r="D570" s="110"/>
      <c r="E570" s="110"/>
      <c r="F570" s="110"/>
      <c r="G570" s="110"/>
      <c r="H570" s="110"/>
      <c r="I570" s="11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12"/>
      <c r="C571" s="113"/>
      <c r="D571" s="113"/>
      <c r="E571" s="113"/>
      <c r="F571" s="113"/>
      <c r="G571" s="113"/>
      <c r="H571" s="113"/>
      <c r="I571" s="11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12"/>
      <c r="C572" s="113"/>
      <c r="D572" s="113"/>
      <c r="E572" s="113"/>
      <c r="F572" s="113"/>
      <c r="G572" s="113"/>
      <c r="H572" s="113"/>
      <c r="I572" s="11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12"/>
      <c r="C573" s="113"/>
      <c r="D573" s="113"/>
      <c r="E573" s="113"/>
      <c r="F573" s="113"/>
      <c r="G573" s="113"/>
      <c r="H573" s="113"/>
      <c r="I573" s="11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12"/>
      <c r="C574" s="115" t="s">
        <v>36</v>
      </c>
      <c r="D574" s="116"/>
      <c r="E574" s="116">
        <v>5.0</v>
      </c>
      <c r="F574" s="116">
        <v>11.0</v>
      </c>
      <c r="G574" s="116">
        <v>15.0</v>
      </c>
      <c r="H574" s="117">
        <v>45.0</v>
      </c>
      <c r="I574" s="11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12"/>
      <c r="C575" s="118">
        <f>(B33+B64+B97+B131+B164+B197+B230+B263+B294+B327+B358+B392+B425+B461+B495+B527+B558)</f>
        <v>0</v>
      </c>
      <c r="D575" s="119"/>
      <c r="E575" s="119">
        <f>(E33+E64+E97+E131+E164+E197+E230+E263+E294+E327+E358+E392+E425+E461+E495+E527+E558)</f>
        <v>0</v>
      </c>
      <c r="F575" s="119">
        <f>(F558+F527+F495+F461+F425+F392+F358+F327+F294+F263+F230+F197+F164+F131+F97+F64+F33)</f>
        <v>0</v>
      </c>
      <c r="G575" s="119">
        <f t="shared" ref="G575:H575" si="17">(G33+G64+G97+G131+G164+G197+G230+G263+G294+G327+G358+G392+G425+G461+G495+G527+G558)</f>
        <v>0</v>
      </c>
      <c r="H575" s="120">
        <f t="shared" si="17"/>
        <v>0</v>
      </c>
      <c r="I575" s="11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12"/>
      <c r="C576" s="113"/>
      <c r="D576" s="113"/>
      <c r="E576" s="113"/>
      <c r="F576" s="113"/>
      <c r="G576" s="113"/>
      <c r="H576" s="113"/>
      <c r="I576" s="11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12"/>
      <c r="C577" s="113"/>
      <c r="D577" s="113"/>
      <c r="E577" s="113"/>
      <c r="F577" s="113"/>
      <c r="G577" s="113"/>
      <c r="H577" s="113"/>
      <c r="I577" s="11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12"/>
      <c r="C578" s="113"/>
      <c r="D578" s="113"/>
      <c r="E578" s="113"/>
      <c r="F578" s="113"/>
      <c r="G578" s="113"/>
      <c r="H578" s="113"/>
      <c r="I578" s="11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21"/>
      <c r="C579" s="122"/>
      <c r="D579" s="122"/>
      <c r="E579" s="122"/>
      <c r="F579" s="122"/>
      <c r="G579" s="122"/>
      <c r="H579" s="122"/>
      <c r="I579" s="12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L7:L32 L40:L63 L73:L96 L106:L130 L139:L163 L172:L196 L205:L229 L238:L262 L270:L293 L302:L326 L334:L357 L367:L391 L399:L424 L433:L460 L468:L494 L502:L526 L534:L557 L562">
      <formula1>Hoja2!$G$4:$G$15</formula1>
    </dataValidation>
    <dataValidation type="list" allowBlank="1" showErrorMessage="1" sqref="K3 K36 K69 K102 K135 K168 K201 K234 K266 K298 K330 K363 K395 K429 K464 K498 K530">
      <formula1>Hoja2!$K$5:$K$7</formula1>
    </dataValidation>
    <dataValidation type="list" allowBlank="1" showErrorMessage="1" sqref="L2 L35 L68 L101 L134 L167 L200 L233 L265 L297 L329 L362 L394 L428 L463 L497 L529">
      <formula1>Hoja2!$I$5:$I$8</formula1>
    </dataValidation>
    <dataValidation type="list" allowBlank="1" showErrorMessage="1" sqref="C3 C36 C69 C102 C135 C168 C201 C234 C266 C298 C330 C363 C395 C429 C464 C498 C530">
      <formula1>Hoja2!$C$4:$C$15</formula1>
    </dataValidation>
    <dataValidation type="list" allowBlank="1" showErrorMessage="1" sqref="I3 I36 I69 I102 I135 I168 I201 I234 I266 I298 I330 I363 I395 I429 I464 I498 I530">
      <formula1>Hoja2!$E$4:$E$18</formula1>
    </dataValidation>
  </dataValidations>
  <printOptions/>
  <pageMargins bottom="0.35433070866141736" footer="0.0" header="0.0" left="0.5118110236220472" right="0.5118110236220472" top="0.35433070866141736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>
      <c r="B3" s="124"/>
      <c r="C3" s="124" t="s">
        <v>6</v>
      </c>
      <c r="D3" s="124"/>
      <c r="E3" s="124" t="s">
        <v>37</v>
      </c>
      <c r="F3" s="124"/>
      <c r="G3" s="124" t="s">
        <v>38</v>
      </c>
      <c r="H3" s="124"/>
      <c r="I3" s="124" t="s">
        <v>39</v>
      </c>
      <c r="J3" s="124"/>
      <c r="K3" s="124" t="s">
        <v>40</v>
      </c>
      <c r="L3" s="124"/>
    </row>
    <row r="4">
      <c r="B4" s="124"/>
      <c r="C4" s="125" t="s">
        <v>41</v>
      </c>
      <c r="D4" s="124"/>
      <c r="E4" s="125">
        <v>1.0</v>
      </c>
      <c r="F4" s="124"/>
      <c r="G4" s="126" t="s">
        <v>42</v>
      </c>
      <c r="H4" s="124"/>
      <c r="I4" s="124"/>
      <c r="J4" s="124"/>
      <c r="K4" s="124"/>
      <c r="L4" s="124"/>
    </row>
    <row r="5">
      <c r="B5" s="124"/>
      <c r="C5" s="125" t="s">
        <v>43</v>
      </c>
      <c r="D5" s="124"/>
      <c r="E5" s="125">
        <v>2.0</v>
      </c>
      <c r="F5" s="124"/>
      <c r="G5" s="126" t="s">
        <v>44</v>
      </c>
      <c r="H5" s="124"/>
      <c r="I5" s="125" t="s">
        <v>5</v>
      </c>
      <c r="J5" s="124"/>
      <c r="K5" s="124" t="s">
        <v>9</v>
      </c>
      <c r="L5" s="124"/>
    </row>
    <row r="6">
      <c r="B6" s="124"/>
      <c r="C6" s="125" t="s">
        <v>45</v>
      </c>
      <c r="D6" s="124"/>
      <c r="E6" s="125">
        <v>3.0</v>
      </c>
      <c r="F6" s="124"/>
      <c r="G6" s="126" t="s">
        <v>46</v>
      </c>
      <c r="H6" s="124"/>
      <c r="I6" s="125" t="s">
        <v>47</v>
      </c>
      <c r="J6" s="124"/>
      <c r="K6" s="124" t="s">
        <v>32</v>
      </c>
      <c r="L6" s="124"/>
    </row>
    <row r="7">
      <c r="B7" s="124"/>
      <c r="C7" s="125" t="s">
        <v>48</v>
      </c>
      <c r="D7" s="124"/>
      <c r="E7" s="125">
        <v>4.0</v>
      </c>
      <c r="F7" s="124"/>
      <c r="G7" s="126" t="s">
        <v>49</v>
      </c>
      <c r="H7" s="124"/>
      <c r="I7" s="125" t="s">
        <v>50</v>
      </c>
      <c r="J7" s="124"/>
      <c r="K7" s="124" t="s">
        <v>51</v>
      </c>
      <c r="L7" s="124"/>
    </row>
    <row r="8">
      <c r="B8" s="124"/>
      <c r="C8" s="125" t="s">
        <v>52</v>
      </c>
      <c r="D8" s="124"/>
      <c r="E8" s="125">
        <v>5.0</v>
      </c>
      <c r="F8" s="124"/>
      <c r="G8" s="126" t="s">
        <v>53</v>
      </c>
      <c r="H8" s="124"/>
      <c r="I8" s="125" t="s">
        <v>54</v>
      </c>
      <c r="J8" s="124"/>
      <c r="K8" s="124"/>
      <c r="L8" s="124"/>
    </row>
    <row r="9">
      <c r="B9" s="124"/>
      <c r="C9" s="125" t="s">
        <v>55</v>
      </c>
      <c r="D9" s="124"/>
      <c r="E9" s="125">
        <v>6.0</v>
      </c>
      <c r="F9" s="124"/>
      <c r="G9" s="126" t="s">
        <v>56</v>
      </c>
      <c r="H9" s="124"/>
      <c r="I9" s="124"/>
      <c r="J9" s="124"/>
      <c r="K9" s="124"/>
      <c r="L9" s="124"/>
    </row>
    <row r="10">
      <c r="B10" s="124"/>
      <c r="C10" s="125" t="s">
        <v>57</v>
      </c>
      <c r="D10" s="124"/>
      <c r="E10" s="125">
        <v>7.0</v>
      </c>
      <c r="F10" s="124"/>
      <c r="G10" s="126" t="s">
        <v>58</v>
      </c>
      <c r="H10" s="124"/>
      <c r="I10" s="124"/>
      <c r="J10" s="124"/>
      <c r="K10" s="124"/>
      <c r="L10" s="124"/>
    </row>
    <row r="11">
      <c r="B11" s="124"/>
      <c r="C11" s="125" t="s">
        <v>7</v>
      </c>
      <c r="D11" s="124"/>
      <c r="E11" s="125">
        <v>8.0</v>
      </c>
      <c r="F11" s="124"/>
      <c r="G11" s="126" t="s">
        <v>59</v>
      </c>
      <c r="H11" s="124"/>
      <c r="I11" s="124"/>
      <c r="J11" s="124"/>
      <c r="K11" s="124"/>
      <c r="L11" s="124"/>
    </row>
    <row r="12">
      <c r="B12" s="124"/>
      <c r="C12" s="125" t="s">
        <v>60</v>
      </c>
      <c r="D12" s="124"/>
      <c r="E12" s="125">
        <v>9.0</v>
      </c>
      <c r="F12" s="124"/>
      <c r="G12" s="126" t="s">
        <v>61</v>
      </c>
      <c r="H12" s="124"/>
      <c r="I12" s="124"/>
      <c r="J12" s="124"/>
      <c r="K12" s="124"/>
      <c r="L12" s="124"/>
    </row>
    <row r="13">
      <c r="B13" s="124"/>
      <c r="C13" s="125" t="s">
        <v>62</v>
      </c>
      <c r="D13" s="124"/>
      <c r="E13" s="125">
        <v>10.0</v>
      </c>
      <c r="F13" s="124"/>
      <c r="G13" s="126" t="s">
        <v>63</v>
      </c>
      <c r="H13" s="124"/>
      <c r="I13" s="124"/>
      <c r="J13" s="124"/>
      <c r="K13" s="124"/>
      <c r="L13" s="124"/>
    </row>
    <row r="14">
      <c r="B14" s="124"/>
      <c r="C14" s="125" t="s">
        <v>64</v>
      </c>
      <c r="D14" s="124"/>
      <c r="E14" s="125">
        <v>11.0</v>
      </c>
      <c r="F14" s="124"/>
      <c r="G14" s="126" t="s">
        <v>65</v>
      </c>
      <c r="H14" s="124"/>
      <c r="I14" s="124"/>
      <c r="J14" s="124"/>
      <c r="K14" s="124"/>
      <c r="L14" s="124"/>
    </row>
    <row r="15">
      <c r="B15" s="124"/>
      <c r="C15" s="125" t="s">
        <v>66</v>
      </c>
      <c r="D15" s="124"/>
      <c r="E15" s="125">
        <v>12.0</v>
      </c>
      <c r="F15" s="124"/>
      <c r="G15" s="126" t="s">
        <v>32</v>
      </c>
      <c r="H15" s="124"/>
      <c r="I15" s="124"/>
      <c r="J15" s="124"/>
      <c r="K15" s="124"/>
      <c r="L15" s="124"/>
    </row>
    <row r="16">
      <c r="B16" s="124"/>
      <c r="C16" s="124"/>
      <c r="D16" s="124"/>
      <c r="E16" s="125">
        <v>13.0</v>
      </c>
      <c r="F16" s="124"/>
      <c r="G16" s="124"/>
      <c r="H16" s="124"/>
      <c r="I16" s="124"/>
      <c r="J16" s="124"/>
      <c r="K16" s="124"/>
      <c r="L16" s="124"/>
    </row>
    <row r="17">
      <c r="B17" s="124"/>
      <c r="C17" s="124"/>
      <c r="D17" s="124"/>
      <c r="E17" s="125">
        <v>14.0</v>
      </c>
      <c r="F17" s="124"/>
      <c r="G17" s="124"/>
      <c r="H17" s="124"/>
      <c r="I17" s="124"/>
      <c r="J17" s="124"/>
      <c r="K17" s="124"/>
      <c r="L17" s="124"/>
    </row>
    <row r="18">
      <c r="B18" s="124"/>
      <c r="C18" s="124"/>
      <c r="D18" s="124"/>
      <c r="E18" s="125">
        <v>15.0</v>
      </c>
      <c r="F18" s="124"/>
      <c r="G18" s="124"/>
      <c r="H18" s="124"/>
      <c r="I18" s="124"/>
      <c r="J18" s="124"/>
      <c r="K18" s="124"/>
      <c r="L18" s="124"/>
    </row>
    <row r="19"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</row>
    <row r="20"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2024-09-12T18:08:26Z</dcterms:created>
  <dc:creator>asotechhha@gmail.com</dc:creator>
</cp:coreProperties>
</file>